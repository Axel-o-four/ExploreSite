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4"/>
    <sheet state="visible" name="Tabella dei risultati" sheetId="2" r:id="rId5"/>
    <sheet state="visible" name="Media delle risposte" sheetId="3" r:id="rId6"/>
    <sheet state="visible" name="Questionario base" sheetId="4" r:id="rId7"/>
    <sheet state="visible" name="Questionario #1" sheetId="5" r:id="rId8"/>
    <sheet state="visible" name="Questionario #2" sheetId="6" r:id="rId9"/>
    <sheet state="visible" name="Questionario #3" sheetId="7" r:id="rId10"/>
    <sheet state="visible" name="Questionario #4" sheetId="8" r:id="rId11"/>
    <sheet state="visible" name="Questionario #5" sheetId="9" r:id="rId12"/>
    <sheet state="visible" name="Questionario #6" sheetId="10" r:id="rId13"/>
    <sheet state="visible" name="Questionario #7" sheetId="11" r:id="rId14"/>
    <sheet state="visible" name="Questionario #8" sheetId="12" r:id="rId15"/>
    <sheet state="visible" name="Questionario #9" sheetId="13" r:id="rId16"/>
    <sheet state="visible" name="Questionario #10" sheetId="14" r:id="rId17"/>
  </sheets>
  <definedNames/>
  <calcPr/>
  <extLst>
    <ext uri="GoogleSheetsCustomDataVersion2">
      <go:sheetsCustomData xmlns:go="http://customooxmlschemas.google.com/" r:id="rId18" roundtripDataChecksum="ssfOuTu/QkYOguMZyiFFpmAMFZSoHa9pRyZez9jdWNM="/>
    </ext>
  </extLst>
</workbook>
</file>

<file path=xl/sharedStrings.xml><?xml version="1.0" encoding="utf-8"?>
<sst xmlns="http://schemas.openxmlformats.org/spreadsheetml/2006/main" count="1580" uniqueCount="85">
  <si>
    <t>#</t>
  </si>
  <si>
    <t>Tasks</t>
  </si>
  <si>
    <t>Self Efficacy</t>
  </si>
  <si>
    <t>ASE</t>
  </si>
  <si>
    <t>AKS</t>
  </si>
  <si>
    <t>APC</t>
  </si>
  <si>
    <t>AMOT</t>
  </si>
  <si>
    <t>Scarso</t>
  </si>
  <si>
    <t>Decision Making</t>
  </si>
  <si>
    <t>Sufficiente</t>
  </si>
  <si>
    <t xml:space="preserve">Self-Management </t>
  </si>
  <si>
    <t>Buono</t>
  </si>
  <si>
    <t xml:space="preserve">Communication </t>
  </si>
  <si>
    <t>Molto Buono</t>
  </si>
  <si>
    <t>Engagement</t>
  </si>
  <si>
    <t>Eccellente</t>
  </si>
  <si>
    <t>Valore</t>
  </si>
  <si>
    <t>T1_SE1</t>
  </si>
  <si>
    <t>Quanto hai trovato chiaro e immediato reperire le informazioni pratiche di un punto di interesse (orari di apertura, prezzi o modalità di acquisto biglietti)?</t>
  </si>
  <si>
    <t>Consultare gli orari ufficiali</t>
  </si>
  <si>
    <t>Media</t>
  </si>
  <si>
    <t>PC</t>
  </si>
  <si>
    <t>SE</t>
  </si>
  <si>
    <t>-</t>
  </si>
  <si>
    <t>Controllare la disponibilità dei biglietti ed i loro prezzi</t>
  </si>
  <si>
    <t>Personal Control</t>
  </si>
  <si>
    <t>Consultare le informazioni generali</t>
  </si>
  <si>
    <t>T1_PC1</t>
  </si>
  <si>
    <t>Quanto hai trovato facile pianificare e concordare le proprie visite consultando gli orari forniti dal sistema?</t>
  </si>
  <si>
    <t>Ottenere informazioni sull'accessibilità del sito</t>
  </si>
  <si>
    <t>Traduzione in tempo reale</t>
  </si>
  <si>
    <t>PC, K&amp;S</t>
  </si>
  <si>
    <t>T2_PC1</t>
  </si>
  <si>
    <t>Quanto hai trovato facile ottenere informazioni sui prezzi dei biglietti e sulle biglietterie ufficiali?</t>
  </si>
  <si>
    <t>Creazione e condivisione di itinerari</t>
  </si>
  <si>
    <t>MOT</t>
  </si>
  <si>
    <t>Visualizzazione dei badge distintivi ottenuti e del livello di turista</t>
  </si>
  <si>
    <t>Filtrare siti per preferenze</t>
  </si>
  <si>
    <t>T3_SE1</t>
  </si>
  <si>
    <t>Quanto sono risultate chiare, complete e leggibili le informazioni generali e le descrizioni dei luoghi proposti?</t>
  </si>
  <si>
    <t>Approfondire informazioni</t>
  </si>
  <si>
    <t>PC, MOT</t>
  </si>
  <si>
    <t>Consiglire una visita a un sito</t>
  </si>
  <si>
    <t>T4_SE1</t>
  </si>
  <si>
    <t>Le informazioni sull'accessibilità dei siti (es. barriere architettoniche, percorsi dedicati) ti hanno permesso di organizzare la visita in modo più consapevole e agevole?</t>
  </si>
  <si>
    <t>Legenda</t>
  </si>
  <si>
    <t>K&amp;S</t>
  </si>
  <si>
    <t>ASE = Average Self-Efficacy</t>
  </si>
  <si>
    <t>AKS = Average Knowledge &amp; Skills</t>
  </si>
  <si>
    <t>Knowledge&amp;Skills</t>
  </si>
  <si>
    <t>APC = Average Personal Control</t>
  </si>
  <si>
    <t>AMOT = Average Motivation</t>
  </si>
  <si>
    <t>T4_KS1</t>
  </si>
  <si>
    <t>Le informazioni sull'accessibilità dei siti (es. barriere architettoniche, percorsi dedicati) sono sufficienti per chi è portatore di handicap?</t>
  </si>
  <si>
    <t>SE = Self-Efficacy</t>
  </si>
  <si>
    <t>K&amp;S = Knowledge &amp; Skills</t>
  </si>
  <si>
    <t>T4_PC1</t>
  </si>
  <si>
    <t>Le informazioni sull'accessibilità dei siti (es. barriere architettoniche, percorsi dedicati) hanno influenzato positivamente le tue decisioni sulle visite ai punti di interesse?</t>
  </si>
  <si>
    <t>PC = Personal Control</t>
  </si>
  <si>
    <t>MOT = Motivation</t>
  </si>
  <si>
    <t>T5_SE1</t>
  </si>
  <si>
    <t>Quanto sono chiare e complete le informazioni tradotte nella propria lingua?</t>
  </si>
  <si>
    <t>T5_PC1</t>
  </si>
  <si>
    <t>Le traduzioni disponibili hanno influenzato positivamente le tue decisioni sulle visite ai punti di interesse?</t>
  </si>
  <si>
    <t>Motivation</t>
  </si>
  <si>
    <t>T5_MOT1</t>
  </si>
  <si>
    <t>Conoscere le curiosità di un punto di interesse tradotto nella propria lingua ti ha motivat* a visitarlo?</t>
  </si>
  <si>
    <t>T6_PC1</t>
  </si>
  <si>
    <t>Quanto ti è sembrato semplice e lineare il processo di creazione di un itinerario su misura per le tue esigenze?</t>
  </si>
  <si>
    <t>T6_MOT1</t>
  </si>
  <si>
    <t>Conoscere un itinerario adatto al proprio viaggio ha influenzato positivamente la pianificazione del proprio viaggio?</t>
  </si>
  <si>
    <t>T7_MOT1</t>
  </si>
  <si>
    <t>I badge e il sistema di gamification ti ha motivat*?</t>
  </si>
  <si>
    <t>T8_SE1</t>
  </si>
  <si>
    <t>In che misura le categorie e i filtri di ricerca proposti dal sistema rispecchiano le tue reali preferenze di viaggio e culturali?</t>
  </si>
  <si>
    <t>T8_MOT1</t>
  </si>
  <si>
    <t>In che misura le categorie e i filtri di ricerca proposti dal sistema ti hanno motivat*?</t>
  </si>
  <si>
    <t>x</t>
  </si>
  <si>
    <t>T9_MOT1</t>
  </si>
  <si>
    <t>Quanto ritieni che il sistema ti abbia aiutato a scoprire curiosità o approfondimenti storici/culturali sul territorio che prima non conoscevi?</t>
  </si>
  <si>
    <t>T10_KS1</t>
  </si>
  <si>
    <t>Al termine dell'utilizzo del sistema, ti senti sufficientemente informato/a da poterti orientare nel territorio o consigliare la visita a qualcun altro?</t>
  </si>
  <si>
    <t>T10_MOT1</t>
  </si>
  <si>
    <t>In che modo il suggerimento di un itinerario da altri utenti ha influenzato le tue visite?</t>
  </si>
  <si>
    <t>Questionario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</si>
</sst>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b/>
      <sz val="16.0"/>
      <color rgb="FF003366"/>
      <name val="Arial"/>
    </font>
    <font>
      <b/>
      <i/>
      <sz val="16.0"/>
      <color rgb="FF003366"/>
      <name val="Arial"/>
    </font>
    <font>
      <sz val="12.0"/>
      <color theme="1"/>
      <name val="Arial"/>
    </font>
    <font>
      <color theme="1"/>
      <name val="Arial"/>
    </font>
    <font>
      <sz val="16.0"/>
      <color rgb="FF003366"/>
      <name val="Arial"/>
    </font>
    <font>
      <b/>
      <color theme="1"/>
      <name val="Arial"/>
    </font>
    <font>
      <i/>
      <sz val="12.0"/>
      <color theme="1"/>
      <name val="Arial"/>
    </font>
    <font>
      <b/>
      <color rgb="FF000000"/>
      <name val="Arial"/>
    </font>
    <font>
      <color rgb="FF000000"/>
      <name val="Arial"/>
    </font>
    <font>
      <color rgb="FFFF000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1" fillId="2" fontId="2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3" numFmtId="0" xfId="0" applyAlignment="1" applyFont="1">
      <alignment vertical="center"/>
    </xf>
    <xf borderId="0" fillId="0" fontId="4" numFmtId="0" xfId="0" applyFont="1"/>
    <xf borderId="1" fillId="2" fontId="5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1" shrinkToFit="0" vertical="center" wrapText="1"/>
    </xf>
    <xf borderId="1" fillId="0" fontId="9" numFmtId="0" xfId="0" applyBorder="1" applyFont="1"/>
    <xf borderId="1" fillId="0" fontId="4" numFmtId="0" xfId="0" applyAlignment="1" applyBorder="1" applyFont="1">
      <alignment horizontal="center"/>
    </xf>
    <xf borderId="1" fillId="0" fontId="9" numFmtId="2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/>
    </xf>
    <xf borderId="0" fillId="0" fontId="9" numFmtId="0" xfId="0" applyFont="1"/>
    <xf borderId="3" fillId="0" fontId="8" numFmtId="0" xfId="0" applyAlignment="1" applyBorder="1" applyFont="1">
      <alignment horizontal="center"/>
    </xf>
    <xf borderId="3" fillId="0" fontId="9" numFmtId="0" xfId="0" applyBorder="1" applyFont="1"/>
    <xf borderId="3" fillId="0" fontId="9" numFmtId="0" xfId="0" applyAlignment="1" applyBorder="1" applyFont="1">
      <alignment horizontal="center" vertical="center"/>
    </xf>
    <xf borderId="3" fillId="0" fontId="9" numFmtId="2" xfId="0" applyAlignment="1" applyBorder="1" applyFont="1" applyNumberFormat="1">
      <alignment horizontal="center" vertical="center"/>
    </xf>
    <xf borderId="3" fillId="0" fontId="4" numFmtId="0" xfId="0" applyBorder="1" applyFont="1"/>
    <xf borderId="3" fillId="0" fontId="4" numFmtId="0" xfId="0" applyAlignment="1" applyBorder="1" applyFont="1">
      <alignment horizontal="center"/>
    </xf>
    <xf borderId="0" fillId="0" fontId="10" numFmtId="0" xfId="0" applyFont="1"/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11" numFmtId="0" xfId="0" applyAlignment="1" applyFont="1">
      <alignment horizontal="center"/>
    </xf>
    <xf borderId="4" fillId="0" fontId="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readingOrder="0"/>
    </xf>
    <xf borderId="0" fillId="0" fontId="12" numFmtId="0" xfId="0" applyFont="1"/>
  </cellXfs>
  <cellStyles count="1">
    <cellStyle xfId="0" name="Normal" builtinId="0"/>
  </cellStyles>
  <dxfs count="1"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51.11"/>
    <col customWidth="1" min="3" max="3" width="19.56"/>
    <col customWidth="1" min="4" max="4" width="20.56"/>
    <col customWidth="1" min="5" max="5" width="18.78"/>
    <col customWidth="1" min="6" max="6" width="15.44"/>
    <col customWidth="1" min="7" max="27" width="11.11"/>
  </cols>
  <sheetData>
    <row r="1" ht="15.75" customHeight="1">
      <c r="A1" s="3" t="s">
        <v>0</v>
      </c>
      <c r="B1" s="3" t="s">
        <v>1</v>
      </c>
      <c r="C1" s="3" t="s">
        <v>8</v>
      </c>
      <c r="D1" s="3" t="s">
        <v>10</v>
      </c>
      <c r="E1" s="3" t="s">
        <v>12</v>
      </c>
      <c r="F1" s="3" t="s">
        <v>14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8">
        <v>1.0</v>
      </c>
      <c r="B2" s="11" t="s">
        <v>19</v>
      </c>
      <c r="C2" s="15" t="s">
        <v>21</v>
      </c>
      <c r="D2" s="15" t="s">
        <v>22</v>
      </c>
      <c r="E2" s="15"/>
      <c r="F2" s="1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8">
        <v>2.0</v>
      </c>
      <c r="B3" s="11" t="s">
        <v>24</v>
      </c>
      <c r="C3" s="15" t="s">
        <v>21</v>
      </c>
      <c r="D3" s="15"/>
      <c r="E3" s="15"/>
      <c r="F3" s="1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8">
        <v>3.0</v>
      </c>
      <c r="B4" s="11" t="s">
        <v>26</v>
      </c>
      <c r="C4" s="15"/>
      <c r="D4" s="15" t="s">
        <v>22</v>
      </c>
      <c r="E4" s="15"/>
      <c r="F4" s="1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8">
        <v>4.0</v>
      </c>
      <c r="B5" s="11" t="s">
        <v>29</v>
      </c>
      <c r="C5" s="15" t="s">
        <v>22</v>
      </c>
      <c r="D5" s="15" t="s">
        <v>31</v>
      </c>
      <c r="E5" s="15"/>
      <c r="F5" s="1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8">
        <v>5.0</v>
      </c>
      <c r="B6" s="14" t="s">
        <v>30</v>
      </c>
      <c r="C6" s="18"/>
      <c r="D6" s="18" t="s">
        <v>21</v>
      </c>
      <c r="E6" s="18" t="s">
        <v>22</v>
      </c>
      <c r="F6" s="18" t="s">
        <v>35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5.75" customHeight="1">
      <c r="A7" s="8">
        <v>6.0</v>
      </c>
      <c r="B7" s="11" t="s">
        <v>34</v>
      </c>
      <c r="C7" s="15"/>
      <c r="D7" s="15" t="s">
        <v>21</v>
      </c>
      <c r="E7" s="15"/>
      <c r="F7" s="15" t="s">
        <v>35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8">
        <v>7.0</v>
      </c>
      <c r="B8" s="14" t="s">
        <v>36</v>
      </c>
      <c r="C8" s="18"/>
      <c r="D8" s="18"/>
      <c r="E8" s="18"/>
      <c r="F8" s="18" t="s">
        <v>35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5.75" customHeight="1">
      <c r="A9" s="8">
        <v>8.0</v>
      </c>
      <c r="B9" s="24" t="s">
        <v>37</v>
      </c>
      <c r="C9" s="25"/>
      <c r="D9" s="25" t="s">
        <v>41</v>
      </c>
      <c r="E9" s="25"/>
      <c r="F9" s="2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8">
        <v>9.0</v>
      </c>
      <c r="B10" s="11" t="s">
        <v>40</v>
      </c>
      <c r="C10" s="15"/>
      <c r="D10" s="15"/>
      <c r="E10" s="15"/>
      <c r="F10" s="15" t="s">
        <v>35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8">
        <v>10.0</v>
      </c>
      <c r="B11" s="14" t="s">
        <v>42</v>
      </c>
      <c r="C11" s="18"/>
      <c r="D11" s="18"/>
      <c r="E11" s="18" t="s">
        <v>46</v>
      </c>
      <c r="F11" s="18" t="s">
        <v>35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5.75" customHeight="1">
      <c r="A12" s="2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28"/>
      <c r="B13" s="3" t="s">
        <v>45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28"/>
      <c r="B14" s="27" t="s">
        <v>54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28"/>
      <c r="B15" s="27" t="s">
        <v>55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28"/>
      <c r="B16" s="27" t="s">
        <v>58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28"/>
      <c r="B17" s="27" t="s">
        <v>59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2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2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2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2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2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2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2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2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2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29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29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2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2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2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2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2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2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2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2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2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2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2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2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2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2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2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2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2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2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2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2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2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2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2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2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2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2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2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2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2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2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2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2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2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2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2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2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2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2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2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2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2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2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2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2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2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2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2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2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2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2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2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2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2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2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2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2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2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2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2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2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2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2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2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2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2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2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2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2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2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2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2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2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2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2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2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2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2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2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2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2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2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2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2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2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2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2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2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2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2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2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2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2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2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2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2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2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2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2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2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2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2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2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2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2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2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2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2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2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2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2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2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2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2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2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2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2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2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2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2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2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2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2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2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2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2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2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2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2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2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2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2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2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2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2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2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2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2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2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2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2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2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2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2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2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2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2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2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2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2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2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2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2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2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2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2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2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2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2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2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2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2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2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2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2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2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2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2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2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2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2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2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2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2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2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2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2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2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2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2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2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2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2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2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2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2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2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2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2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2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2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2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2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2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2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2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2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2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2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2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2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2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2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2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2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2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2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2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2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2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2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2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2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2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2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2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2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2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2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2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2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2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2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2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2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2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2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2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2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2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2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2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2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2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2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2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2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2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2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2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2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2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2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2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2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2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2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2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2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2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2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2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2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2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2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2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2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2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2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2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2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2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2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2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2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2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2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2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2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2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2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2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2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2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2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2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2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2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2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2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2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2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2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2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2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2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2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2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2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2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2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2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2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2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2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2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2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2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2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2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2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2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2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2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2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2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2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2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2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2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2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2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2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2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2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2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2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2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2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2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2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2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2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2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2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2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2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2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2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2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2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2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2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2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2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2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2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2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2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2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2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2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2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2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2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2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2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2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2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2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2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2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2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2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2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2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2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2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2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2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2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2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2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2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2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2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2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2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2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2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2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2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2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2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2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2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2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2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2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2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2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2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2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2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2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2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2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2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2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2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2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2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2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2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2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2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2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2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2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2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2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2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2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2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2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2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2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2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2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2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2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2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2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2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2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2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2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2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2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2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2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2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2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2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2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2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2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2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2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2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2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2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2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2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2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2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2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2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2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2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2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2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2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2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2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2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2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2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2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2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2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2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2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2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2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2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2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2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2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2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2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2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2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2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2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2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2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2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2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2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2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2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2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2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2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2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2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2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2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2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2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2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2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2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2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2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2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2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2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2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2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2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2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2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2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2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2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2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2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2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2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2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2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2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2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2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2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2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2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2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2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2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2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2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2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2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2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2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2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2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2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2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2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2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2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2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2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2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2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2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2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2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2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2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2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2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2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2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2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2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2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2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2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2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2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2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2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2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2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2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2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2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2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2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2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2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2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2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2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2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2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2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2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2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2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2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2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2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2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2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2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2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2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2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2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2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2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2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2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2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2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2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2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2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2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2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2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2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2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2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2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2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2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2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2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2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2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2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2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2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2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2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2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2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2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2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2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2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2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2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2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2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2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2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2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2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2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2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2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2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2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2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2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2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2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2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2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2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2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2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2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2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2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2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2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2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2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2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2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2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2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2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2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2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2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2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2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2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2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2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2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2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2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2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2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2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2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2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2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2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2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2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2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2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2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2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2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2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2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2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2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2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2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2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2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2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2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2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2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2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2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2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2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2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2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2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2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2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2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2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2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2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2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2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2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2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2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2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2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2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2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2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2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2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2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2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2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2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2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2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2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2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2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2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2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2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2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2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2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2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2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2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2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2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2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2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2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2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2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2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2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2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2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2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2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2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2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2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2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2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2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2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2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2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2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2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2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2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2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2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2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2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2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2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2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2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2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2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2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2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2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2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2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2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2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2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2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2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2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2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2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2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2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2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2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2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2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2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2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2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2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2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2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2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2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2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2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2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2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2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2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2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2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2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2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2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2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2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2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2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2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2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2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2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2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2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2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2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2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2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2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2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2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2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2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2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2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2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2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2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2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2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2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2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2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2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2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2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2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2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2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2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2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2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2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2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2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2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2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2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2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2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2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2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2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2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2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2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2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2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2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2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2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2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2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2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2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2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2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2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2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2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2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2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2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2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2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2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2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2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2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2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2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2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2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2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2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2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2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2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2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2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2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2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2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2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2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2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2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2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2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2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2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2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2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2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2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2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2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2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2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2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2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2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2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2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2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2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2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2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2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2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2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2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2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2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2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2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2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2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2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2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2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2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2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2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2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2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2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2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2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2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2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2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2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2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2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2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2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2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2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2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2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2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2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2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2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2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2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2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2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2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2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2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2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2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2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2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2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2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2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2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2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2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51.11"/>
    <col customWidth="1" min="3" max="3" width="5.78"/>
    <col customWidth="1" min="4" max="5" width="5.89"/>
    <col customWidth="1" min="6" max="6" width="7.89"/>
    <col customWidth="1" min="7" max="7" width="11.11"/>
    <col customWidth="1" min="8" max="8" width="8.89"/>
    <col customWidth="1" min="9" max="9" width="7.56"/>
    <col customWidth="1" min="10" max="10" width="4.67"/>
    <col customWidth="1" min="11" max="12" width="4.78"/>
    <col customWidth="1" min="13" max="13" width="6.78"/>
    <col customWidth="1" min="14" max="24" width="11.11"/>
  </cols>
  <sheetData>
    <row r="1" ht="15.75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</row>
    <row r="2" ht="15.75" customHeight="1">
      <c r="A2" s="10">
        <v>1.0</v>
      </c>
      <c r="B2" s="14" t="s">
        <v>19</v>
      </c>
      <c r="C2" s="16">
        <f>'Media delle risposte'!C2</f>
        <v>4.6</v>
      </c>
      <c r="D2" s="17" t="s">
        <v>23</v>
      </c>
      <c r="E2" s="16">
        <f>'Media delle risposte'!C4</f>
        <v>4.2</v>
      </c>
      <c r="F2" s="17" t="s">
        <v>23</v>
      </c>
    </row>
    <row r="3" ht="15.75" customHeight="1">
      <c r="A3" s="10">
        <v>2.0</v>
      </c>
      <c r="B3" s="14" t="s">
        <v>24</v>
      </c>
      <c r="C3" s="17" t="s">
        <v>23</v>
      </c>
      <c r="D3" s="17" t="s">
        <v>23</v>
      </c>
      <c r="E3" s="16">
        <f>'Media delle risposte'!C6</f>
        <v>4.4</v>
      </c>
      <c r="F3" s="17" t="s">
        <v>23</v>
      </c>
    </row>
    <row r="4" ht="15.75" customHeight="1">
      <c r="A4" s="10">
        <v>3.0</v>
      </c>
      <c r="B4" s="14" t="s">
        <v>26</v>
      </c>
      <c r="C4" s="16">
        <f>'Media delle risposte'!C8</f>
        <v>4.2</v>
      </c>
      <c r="D4" s="17" t="s">
        <v>23</v>
      </c>
      <c r="E4" s="17" t="s">
        <v>23</v>
      </c>
      <c r="F4" s="17" t="s">
        <v>23</v>
      </c>
    </row>
    <row r="5" ht="15.75" customHeight="1">
      <c r="A5" s="10">
        <v>4.0</v>
      </c>
      <c r="B5" s="14" t="s">
        <v>29</v>
      </c>
      <c r="C5" s="16">
        <f>'Media delle risposte'!C10</f>
        <v>4.4</v>
      </c>
      <c r="D5" s="16">
        <f>'Media delle risposte'!C12</f>
        <v>3.9</v>
      </c>
      <c r="E5" s="16">
        <f>'Media delle risposte'!C14</f>
        <v>4.8</v>
      </c>
      <c r="F5" s="17" t="s">
        <v>23</v>
      </c>
    </row>
    <row r="6" ht="15.75" customHeight="1">
      <c r="A6" s="10">
        <v>5.0</v>
      </c>
      <c r="B6" s="14" t="s">
        <v>30</v>
      </c>
      <c r="C6" s="16">
        <f>'Media delle risposte'!C16</f>
        <v>3.5</v>
      </c>
      <c r="D6" s="17" t="s">
        <v>23</v>
      </c>
      <c r="E6" s="16">
        <f>'Media delle risposte'!C18</f>
        <v>3.9</v>
      </c>
      <c r="F6" s="16">
        <f>'Media delle risposte'!C20</f>
        <v>3.9</v>
      </c>
    </row>
    <row r="7" ht="15.75" customHeight="1">
      <c r="A7" s="10">
        <v>6.0</v>
      </c>
      <c r="B7" s="14" t="s">
        <v>34</v>
      </c>
      <c r="C7" s="17" t="s">
        <v>23</v>
      </c>
      <c r="D7" s="17" t="s">
        <v>23</v>
      </c>
      <c r="E7" s="16">
        <f>'Media delle risposte'!C22</f>
        <v>4.4</v>
      </c>
      <c r="F7" s="16">
        <f>'Media delle risposte'!C24</f>
        <v>4.6</v>
      </c>
    </row>
    <row r="8" ht="15.75" customHeight="1">
      <c r="A8" s="10">
        <v>7.0</v>
      </c>
      <c r="B8" s="14" t="s">
        <v>36</v>
      </c>
      <c r="C8" s="17" t="s">
        <v>23</v>
      </c>
      <c r="D8" s="17" t="s">
        <v>23</v>
      </c>
      <c r="E8" s="17" t="s">
        <v>23</v>
      </c>
      <c r="F8" s="16">
        <f>'Media delle risposte'!C26</f>
        <v>4.1</v>
      </c>
    </row>
    <row r="9" ht="15.75" customHeight="1">
      <c r="A9" s="20">
        <v>8.0</v>
      </c>
      <c r="B9" s="21" t="s">
        <v>37</v>
      </c>
      <c r="C9" s="22" t="s">
        <v>23</v>
      </c>
      <c r="D9" s="22" t="s">
        <v>23</v>
      </c>
      <c r="E9" s="23">
        <f>'Media delle risposte'!C28</f>
        <v>3.9</v>
      </c>
      <c r="F9" s="23">
        <f>'Media delle risposte'!C30</f>
        <v>4</v>
      </c>
    </row>
    <row r="10" ht="15.75" customHeight="1">
      <c r="A10" s="10">
        <v>9.0</v>
      </c>
      <c r="B10" s="14" t="s">
        <v>40</v>
      </c>
      <c r="C10" s="17" t="s">
        <v>23</v>
      </c>
      <c r="D10" s="17" t="s">
        <v>23</v>
      </c>
      <c r="E10" s="17" t="s">
        <v>23</v>
      </c>
      <c r="F10" s="16">
        <f>'Media delle risposte'!C32</f>
        <v>4.5</v>
      </c>
    </row>
    <row r="11" ht="15.75" customHeight="1">
      <c r="A11" s="10">
        <v>10.0</v>
      </c>
      <c r="B11" s="14" t="s">
        <v>42</v>
      </c>
      <c r="C11" s="17" t="s">
        <v>23</v>
      </c>
      <c r="D11" s="16">
        <f>'Media delle risposte'!C34</f>
        <v>4</v>
      </c>
      <c r="E11" s="17" t="s">
        <v>23</v>
      </c>
      <c r="F11" s="16">
        <f>'Media delle risposte'!C36</f>
        <v>4.2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ht="15.75" customHeight="1"/>
    <row r="13" ht="15.75" customHeight="1">
      <c r="B13" s="3" t="s">
        <v>45</v>
      </c>
    </row>
    <row r="14" ht="15.75" customHeight="1">
      <c r="B14" s="27" t="s">
        <v>47</v>
      </c>
    </row>
    <row r="15" ht="15.75" customHeight="1">
      <c r="B15" s="27" t="s">
        <v>48</v>
      </c>
    </row>
    <row r="16" ht="15.75" customHeight="1">
      <c r="B16" s="27" t="s">
        <v>50</v>
      </c>
    </row>
    <row r="17" ht="15.75" customHeight="1">
      <c r="B17" s="27" t="s">
        <v>51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conditionalFormatting sqref="C2:F11">
    <cfRule type="cellIs" dxfId="0" priority="1" operator="lessThan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11"/>
    <col customWidth="1" min="4" max="20" width="11.11"/>
  </cols>
  <sheetData>
    <row r="1">
      <c r="A1" s="2"/>
      <c r="B1" s="4" t="s">
        <v>2</v>
      </c>
      <c r="C1" s="13" t="s">
        <v>20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7" t="s">
        <v>17</v>
      </c>
      <c r="B2" s="9" t="s">
        <v>18</v>
      </c>
      <c r="C2" s="12">
        <f>AVERAGE('Questionario #1'!H2,'Questionario #2'!H2,'Questionario #3'!H2,'Questionario #4'!H2,'Questionario #5'!H2,'Questionario #6'!H2,'Questionario #7'!H2,'Questionario #8'!H2,'Questionario #9'!H2,'Questionario #10'!H2)</f>
        <v>4.6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2"/>
      <c r="B3" s="2" t="s">
        <v>25</v>
      </c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27</v>
      </c>
      <c r="B4" s="9" t="s">
        <v>28</v>
      </c>
      <c r="C4" s="12">
        <f>AVERAGE('Questionario #1'!H4,'Questionario #2'!H4,'Questionario #3'!H4,'Questionario #4'!H4,'Questionario #5'!H4,'Questionario #6'!H4,'Questionario #7'!H4,'Questionario #8'!H4,'Questionario #9'!H4,'Questionario #10'!H4)</f>
        <v>4.2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4"/>
      <c r="B5" s="4" t="s">
        <v>25</v>
      </c>
      <c r="C5" s="4" t="s">
        <v>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7" t="s">
        <v>32</v>
      </c>
      <c r="B6" s="9" t="s">
        <v>33</v>
      </c>
      <c r="C6" s="12">
        <f>AVERAGE('Questionario #1'!H6,'Questionario #2'!H6,'Questionario #3'!H6,'Questionario #4'!H6,'Questionario #5'!H6,'Questionario #6'!H6,'Questionario #7'!H6,'Questionario #8'!H6,'Questionario #9'!H6,'Questionario #10'!H6)</f>
        <v>4.4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4"/>
      <c r="B7" s="4" t="s">
        <v>2</v>
      </c>
      <c r="C7" s="4" t="s">
        <v>16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7" t="s">
        <v>38</v>
      </c>
      <c r="B8" s="9" t="s">
        <v>39</v>
      </c>
      <c r="C8" s="12">
        <f>AVERAGE('Questionario #1'!H8,'Questionario #2'!H8,'Questionario #3'!H8,'Questionario #4'!H8,'Questionario #5'!H8,'Questionario #6'!H8,'Questionario #7'!H8,'Questionario #8'!H8,'Questionario #9'!H8,'Questionario #10'!H8)</f>
        <v>4.2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4"/>
      <c r="B9" s="4" t="s">
        <v>2</v>
      </c>
      <c r="C9" s="4" t="s">
        <v>16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7" t="s">
        <v>43</v>
      </c>
      <c r="B10" s="9" t="s">
        <v>44</v>
      </c>
      <c r="C10" s="12">
        <f>AVERAGE('Questionario #1'!H10,'Questionario #2'!H10,'Questionario #3'!H10,'Questionario #4'!H10,'Questionario #5'!H10,'Questionario #6'!H10,'Questionario #7'!H10,'Questionario #8'!H10,'Questionario #9'!H10,'Questionario #10'!H10)</f>
        <v>4.4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7"/>
      <c r="B11" s="2" t="s">
        <v>49</v>
      </c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7" t="s">
        <v>52</v>
      </c>
      <c r="B12" s="9" t="s">
        <v>53</v>
      </c>
      <c r="C12" s="12">
        <f>AVERAGE('Questionario #1'!H12,'Questionario #2'!H12,'Questionario #3'!H12,'Questionario #4'!H12,'Questionario #5'!H12,'Questionario #6'!H12,'Questionario #7'!H12,'Questionario #8'!H12,'Questionario #9'!H12,'Questionario #10'!H12)</f>
        <v>3.9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7"/>
      <c r="B13" s="2" t="s">
        <v>25</v>
      </c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7" t="s">
        <v>56</v>
      </c>
      <c r="B14" s="9" t="s">
        <v>57</v>
      </c>
      <c r="C14" s="12">
        <f>AVERAGE('Questionario #1'!H14,'Questionario #2'!H14,'Questionario #3'!H14,'Questionario #4'!H14,'Questionario #5'!H14,'Questionario #6'!H14,'Questionario #7'!H14,'Questionario #8'!H14,'Questionario #9'!H14,'Questionario #10'!H14)</f>
        <v>4.8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4"/>
      <c r="B15" s="4" t="s">
        <v>2</v>
      </c>
      <c r="C15" s="4" t="s">
        <v>16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7" t="s">
        <v>60</v>
      </c>
      <c r="B16" s="9" t="s">
        <v>61</v>
      </c>
      <c r="C16" s="12">
        <f>AVERAGE('Questionario #1'!H16,'Questionario #2'!H16,'Questionario #3'!H16,'Questionario #4'!H16,'Questionario #5'!H16,'Questionario #6'!H16,'Questionario #7'!H16,'Questionario #8'!H16,'Questionario #9'!H16,'Questionario #10'!H16)</f>
        <v>3.5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7"/>
      <c r="B17" s="2" t="s">
        <v>25</v>
      </c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7" t="s">
        <v>62</v>
      </c>
      <c r="B18" s="9" t="s">
        <v>63</v>
      </c>
      <c r="C18" s="12">
        <f>AVERAGE('Questionario #1'!H18,'Questionario #2'!H18,'Questionario #3'!H18,'Questionario #4'!H18,'Questionario #5'!H18,'Questionario #6'!H18,'Questionario #7'!H18,'Questionario #8'!H18,'Questionario #9'!H18,'Questionario #10'!H18)</f>
        <v>3.9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7"/>
      <c r="B19" s="2" t="s">
        <v>64</v>
      </c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>
      <c r="A20" s="7" t="s">
        <v>65</v>
      </c>
      <c r="B20" s="9" t="s">
        <v>66</v>
      </c>
      <c r="C20" s="12">
        <f>AVERAGE('Questionario #1'!H20,'Questionario #2'!H20,'Questionario #3'!H20,'Questionario #4'!H20,'Questionario #5'!H20,'Questionario #6'!H20,'Questionario #7'!H20,'Questionario #8'!H20,'Questionario #9'!H20,'Questionario #10'!H20)</f>
        <v>3.9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>
      <c r="A21" s="4"/>
      <c r="B21" s="4" t="s">
        <v>25</v>
      </c>
      <c r="C21" s="4" t="s">
        <v>16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>
      <c r="A22" s="7" t="s">
        <v>67</v>
      </c>
      <c r="B22" s="9" t="s">
        <v>68</v>
      </c>
      <c r="C22" s="12">
        <f>AVERAGE('Questionario #1'!H22,'Questionario #2'!H22,'Questionario #3'!H22,'Questionario #4'!H22,'Questionario #5'!H22,'Questionario #6'!H22,'Questionario #7'!H22,'Questionario #8'!H22,'Questionario #9'!H22,'Questionario #10'!H22)</f>
        <v>4.4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7"/>
      <c r="B23" s="2" t="s">
        <v>64</v>
      </c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7" t="s">
        <v>69</v>
      </c>
      <c r="B24" s="9" t="s">
        <v>70</v>
      </c>
      <c r="C24" s="12">
        <f>AVERAGE('Questionario #1'!H24,'Questionario #2'!H24,'Questionario #3'!H24,'Questionario #4'!H24,'Questionario #5'!H24,'Questionario #6'!H24,'Questionario #7'!H24,'Questionario #8'!H24,'Questionario #9'!H24,'Questionario #10'!H24)</f>
        <v>4.6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4"/>
      <c r="B25" s="4" t="s">
        <v>64</v>
      </c>
      <c r="C25" s="4" t="s">
        <v>16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7" t="s">
        <v>71</v>
      </c>
      <c r="B26" s="9" t="s">
        <v>72</v>
      </c>
      <c r="C26" s="12">
        <f>AVERAGE('Questionario #1'!H26,'Questionario #2'!H26,'Questionario #3'!H26,'Questionario #4'!H26,'Questionario #5'!H26,'Questionario #6'!H26,'Questionario #7'!H26,'Questionario #8'!H26,'Questionario #9'!H26,'Questionario #10'!H26)</f>
        <v>4.1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4"/>
      <c r="B27" s="4" t="s">
        <v>25</v>
      </c>
      <c r="C27" s="4" t="s">
        <v>16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7" t="s">
        <v>73</v>
      </c>
      <c r="B28" s="9" t="s">
        <v>74</v>
      </c>
      <c r="C28" s="12">
        <f>AVERAGE('Questionario #1'!H28,'Questionario #2'!H28,'Questionario #3'!H28,'Questionario #4'!H28,'Questionario #5'!H28,'Questionario #6'!H28,'Questionario #7'!H28,'Questionario #8'!H28,'Questionario #9'!H28,'Questionario #10'!H28)</f>
        <v>3.9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7"/>
      <c r="B29" s="2" t="s">
        <v>64</v>
      </c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7" t="s">
        <v>75</v>
      </c>
      <c r="B30" s="30" t="s">
        <v>76</v>
      </c>
      <c r="C30" s="12">
        <f>AVERAGE('Questionario #1'!H30,'Questionario #2'!H30,'Questionario #3'!H30,'Questionario #4'!H30,'Questionario #5'!H30,'Questionario #6'!H30,'Questionario #7'!H30,'Questionario #8'!H30,'Questionario #9'!H30,'Questionario #10'!H30)</f>
        <v>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4"/>
      <c r="B31" s="4" t="s">
        <v>64</v>
      </c>
      <c r="C31" s="4" t="s">
        <v>16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7" t="s">
        <v>78</v>
      </c>
      <c r="B32" s="9" t="s">
        <v>79</v>
      </c>
      <c r="C32" s="12">
        <f>AVERAGE('Questionario #1'!H32,'Questionario #2'!H32,'Questionario #3'!H32,'Questionario #4'!H32,'Questionario #5'!H32,'Questionario #6'!H32,'Questionario #7'!H32,'Questionario #8'!H32,'Questionario #9'!H32,'Questionario #10'!H32)</f>
        <v>4.5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4"/>
      <c r="B33" s="4" t="s">
        <v>49</v>
      </c>
      <c r="C33" s="4" t="s">
        <v>16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7" t="s">
        <v>80</v>
      </c>
      <c r="B34" s="9" t="s">
        <v>81</v>
      </c>
      <c r="C34" s="12">
        <f>AVERAGE('Questionario #1'!H34,'Questionario #2'!H34,'Questionario #3'!H34,'Questionario #4'!H34,'Questionario #5'!H34,'Questionario #6'!H34,'Questionario #7'!H34,'Questionario #8'!H34,'Questionario #9'!H34,'Questionario #10'!H34)</f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7"/>
      <c r="B35" s="2" t="s">
        <v>64</v>
      </c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7" t="s">
        <v>82</v>
      </c>
      <c r="B36" s="32" t="s">
        <v>83</v>
      </c>
      <c r="C36" s="12">
        <f>AVERAGE('Questionario #1'!H36,'Questionario #2'!H36,'Questionario #3'!H36,'Questionario #4'!H36,'Questionario #5'!H36,'Questionario #6'!H36,'Questionario #7'!H36,'Questionario #8'!H36,'Questionario #9'!H36,'Questionario #10'!H36)</f>
        <v>4.2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12"/>
      <c r="H2" s="12">
        <f>IF(C2="X",1)+IF(D2="X",2)+IF(E2="X",3)+IF(F2="X",4)+IF(G2="X",5)</f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12"/>
      <c r="G4" s="12"/>
      <c r="H4" s="12">
        <f>IF(C4="X",1)+IF(D4="X",2)+IF(E4="X",3)+IF(F4="X",4)+IF(G4="X",5)</f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12"/>
      <c r="G6" s="12"/>
      <c r="H6" s="12">
        <f>IF(C6="X",1)+IF(D6="X",2)+IF(E6="X",3)+IF(F6="X",4)+IF(G6="X",5)</f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12"/>
      <c r="G8" s="12"/>
      <c r="H8" s="12">
        <f>IF(C8="X",1)+IF(D8="X",2)+IF(E8="X",3)+IF(F8="X",4)+IF(G8="X",5)</f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12"/>
      <c r="G10" s="12"/>
      <c r="H10" s="12">
        <f>IF(C10="X",1)+IF(D10="X",2)+IF(E10="X",3)+IF(F10="X",4)+IF(G10="X",5)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12"/>
      <c r="G12" s="12"/>
      <c r="H12" s="12">
        <f>IF(C12="X",1)+IF(D12="X",2)+IF(E12="X",3)+IF(F12="X",4)+IF(G12="X",5)</f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12"/>
      <c r="H14" s="12">
        <f>IF(C14="X",1)+IF(D14="X",2)+IF(E14="X",3)+IF(F14="X",4)+IF(G14="X",5)</f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12"/>
      <c r="F16" s="12"/>
      <c r="G16" s="12"/>
      <c r="H16" s="12">
        <f>IF(C16="X",1)+IF(D16="X",2)+IF(E16="X",3)+IF(F16="X",4)+IF(G16="X",5)</f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12"/>
      <c r="G18" s="12"/>
      <c r="H18" s="12">
        <f>IF(C18="X",1)+IF(D18="X",2)+IF(E18="X",3)+IF(F18="X",4)+IF(G18="X",5)</f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12"/>
      <c r="G20" s="12"/>
      <c r="H20" s="12">
        <f>IF(C20="X",1)+IF(D20="X",2)+IF(E20="X",3)+IF(F20="X",4)+IF(G20="X",5)</f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12"/>
      <c r="G22" s="12"/>
      <c r="H22" s="12">
        <f>IF(C22="X",1)+IF(D22="X",2)+IF(E22="X",3)+IF(F22="X",4)+IF(G22="X",5)</f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12"/>
      <c r="G24" s="12"/>
      <c r="H24" s="12">
        <f>IF(C24="X",1)+IF(D24="X",2)+IF(E24="X",3)+IF(F24="X",4)+IF(G24="X",5)</f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12"/>
      <c r="G26" s="12"/>
      <c r="H26" s="12">
        <f>IF(C26="X",1)+IF(D26="X",2)+IF(E26="X",3)+IF(F26="X",4)+IF(G26="X",5)</f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12"/>
      <c r="G28" s="12"/>
      <c r="H28" s="12">
        <f>IF(C28="X",1)+IF(D28="X",2)+IF(E28="X",3)+IF(F28="X",4)+IF(G28="X",5)</f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12"/>
      <c r="G30" s="12"/>
      <c r="H30" s="12">
        <f>IF(C30="X",1)+IF(D30="X",2)+IF(E30="X",3)+IF(F30="X",4)+IF(G30="X",5)</f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12"/>
      <c r="G32" s="12"/>
      <c r="H32" s="12">
        <f>IF(C32="X",1)+IF(D32="X",2)+IF(E32="X",3)+IF(F32="X",4)+IF(G32="X",5)</f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12"/>
      <c r="G34" s="12"/>
      <c r="H34" s="12">
        <f>IF(C34="X",1)+IF(D34="X",2)+IF(E34="X",3)+IF(F34="X",4)+IF(G34="X",5)</f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12"/>
      <c r="G36" s="12"/>
      <c r="H36" s="12">
        <f>IF(C36="X",1)+IF(D36="X",2)+IF(E36="X",3)+IF(F36="X",4)+IF(G36="X",5)</f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31" t="s">
        <v>77</v>
      </c>
      <c r="H2" s="12">
        <f>IF(C2="X",1)+IF(D2="X",2)+IF(E2="X",3)+IF(F2="X",4)+IF(G2="X",5)</f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31" t="s">
        <v>77</v>
      </c>
      <c r="G4" s="12"/>
      <c r="H4" s="12">
        <f>IF(C4="X",1)+IF(D4="X",2)+IF(E4="X",3)+IF(F4="X",4)+IF(G4="X",5)</f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31" t="s">
        <v>77</v>
      </c>
      <c r="G6" s="12"/>
      <c r="H6" s="12">
        <f>IF(C6="X",1)+IF(D6="X",2)+IF(E6="X",3)+IF(F6="X",4)+IF(G6="X",5)</f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12"/>
      <c r="G8" s="31" t="s">
        <v>77</v>
      </c>
      <c r="H8" s="12">
        <f>IF(C8="X",1)+IF(D8="X",2)+IF(E8="X",3)+IF(F8="X",4)+IF(G8="X",5)</f>
        <v>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12"/>
      <c r="G10" s="31" t="s">
        <v>77</v>
      </c>
      <c r="H10" s="12">
        <f>IF(C10="X",1)+IF(D10="X",2)+IF(E10="X",3)+IF(F10="X",4)+IF(G10="X",5)</f>
        <v>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12"/>
      <c r="G12" s="31" t="s">
        <v>77</v>
      </c>
      <c r="H12" s="12">
        <f>IF(C12="X",1)+IF(D12="X",2)+IF(E12="X",3)+IF(F12="X",4)+IF(G12="X",5)</f>
        <v>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12"/>
      <c r="F16" s="12"/>
      <c r="G16" s="31" t="s">
        <v>77</v>
      </c>
      <c r="H16" s="12">
        <f>IF(C16="X",1)+IF(D16="X",2)+IF(E16="X",3)+IF(F16="X",4)+IF(G16="X",5)</f>
        <v>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12"/>
      <c r="G18" s="31" t="s">
        <v>77</v>
      </c>
      <c r="H18" s="12">
        <f>IF(C18="X",1)+IF(D18="X",2)+IF(E18="X",3)+IF(F18="X",4)+IF(G18="X",5)</f>
        <v>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12"/>
      <c r="G20" s="31" t="s">
        <v>77</v>
      </c>
      <c r="H20" s="12">
        <f>IF(C20="X",1)+IF(D20="X",2)+IF(E20="X",3)+IF(F20="X",4)+IF(G20="X",5)</f>
        <v>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 t="s">
        <v>77</v>
      </c>
      <c r="G22" s="12"/>
      <c r="H22" s="12">
        <f>IF(C22="X",1)+IF(D22="X",2)+IF(E22="X",3)+IF(F22="X",4)+IF(G22="X",5)</f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12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31" t="s">
        <v>77</v>
      </c>
      <c r="F26" s="12"/>
      <c r="G26" s="12"/>
      <c r="H26" s="12">
        <f>IF(C26="X",1)+IF(D26="X",2)+IF(E26="X",3)+IF(F26="X",4)+IF(G26="X",5)</f>
        <v>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12"/>
      <c r="G28" s="31" t="s">
        <v>77</v>
      </c>
      <c r="H28" s="12">
        <f>IF(C28="X",1)+IF(D28="X",2)+IF(E28="X",3)+IF(F28="X",4)+IF(G28="X",5)</f>
        <v>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12"/>
      <c r="G30" s="31" t="s">
        <v>77</v>
      </c>
      <c r="H30" s="12">
        <f>IF(C30="X",1)+IF(D30="X",2)+IF(E30="X",3)+IF(F30="X",4)+IF(G30="X",5)</f>
        <v>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12"/>
      <c r="G32" s="31" t="s">
        <v>77</v>
      </c>
      <c r="H32" s="12">
        <f>IF(C32="X",1)+IF(D32="X",2)+IF(E32="X",3)+IF(F32="X",4)+IF(G32="X",5)</f>
        <v>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12"/>
      <c r="G34" s="31" t="s">
        <v>77</v>
      </c>
      <c r="H34" s="12">
        <f>IF(C34="X",1)+IF(D34="X",2)+IF(E34="X",3)+IF(F34="X",4)+IF(G34="X",5)</f>
        <v>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31" t="s">
        <v>77</v>
      </c>
      <c r="G36" s="12"/>
      <c r="H36" s="12">
        <f>IF(C36="X",1)+IF(D36="X",2)+IF(E36="X",3)+IF(F36="X",4)+IF(G36="X",5)</f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31" t="s">
        <v>77</v>
      </c>
      <c r="H2" s="12">
        <f>IF(C2="X",1)+IF(D2="X",2)+IF(E2="X",3)+IF(F2="X",4)+IF(G2="X",5)</f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31" t="s">
        <v>77</v>
      </c>
      <c r="G4" s="12"/>
      <c r="H4" s="12">
        <f>IF(C4="X",1)+IF(D4="X",2)+IF(E4="X",3)+IF(F4="X",4)+IF(G4="X",5)</f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31" t="s">
        <v>77</v>
      </c>
      <c r="G6" s="12"/>
      <c r="H6" s="12">
        <f>IF(C6="X",1)+IF(D6="X",2)+IF(E6="X",3)+IF(F6="X",4)+IF(G6="X",5)</f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31" t="s">
        <v>77</v>
      </c>
      <c r="G8" s="12"/>
      <c r="H8" s="12">
        <f>IF(C8="X",1)+IF(D8="X",2)+IF(E8="X",3)+IF(F8="X",4)+IF(G8="X",5)</f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31" t="s">
        <v>77</v>
      </c>
      <c r="G10" s="12"/>
      <c r="H10" s="12">
        <f>IF(C10="X",1)+IF(D10="X",2)+IF(E10="X",3)+IF(F10="X",4)+IF(G10="X",5)</f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31" t="s">
        <v>77</v>
      </c>
      <c r="G12" s="12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31" t="s">
        <v>77</v>
      </c>
      <c r="E16" s="12"/>
      <c r="F16" s="12"/>
      <c r="G16" s="12"/>
      <c r="H16" s="12">
        <f>IF(C16="X",1)+IF(D16="X",2)+IF(E16="X",3)+IF(F16="X",4)+IF(G16="X",5)</f>
        <v>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12"/>
      <c r="G18" s="31" t="s">
        <v>77</v>
      </c>
      <c r="H18" s="12">
        <f>IF(C18="X",1)+IF(D18="X",2)+IF(E18="X",3)+IF(F18="X",4)+IF(G18="X",5)</f>
        <v>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31" t="s">
        <v>77</v>
      </c>
      <c r="G20" s="12"/>
      <c r="H20" s="12">
        <f>IF(C20="X",1)+IF(D20="X",2)+IF(E20="X",3)+IF(F20="X",4)+IF(G20="X",5)</f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 t="s">
        <v>77</v>
      </c>
      <c r="G22" s="12"/>
      <c r="H22" s="12">
        <f>IF(C22="X",1)+IF(D22="X",2)+IF(E22="X",3)+IF(F22="X",4)+IF(G22="X",5)</f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12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12"/>
      <c r="G26" s="31" t="s">
        <v>77</v>
      </c>
      <c r="H26" s="12">
        <f>IF(C26="X",1)+IF(D26="X",2)+IF(E26="X",3)+IF(F26="X",4)+IF(G26="X",5)</f>
        <v>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31" t="s">
        <v>77</v>
      </c>
      <c r="F28" s="12"/>
      <c r="G28" s="12"/>
      <c r="H28" s="12">
        <f>IF(C28="X",1)+IF(D28="X",2)+IF(E28="X",3)+IF(F28="X",4)+IF(G28="X",5)</f>
        <v>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31"/>
      <c r="F30" s="31" t="s">
        <v>77</v>
      </c>
      <c r="G30" s="12"/>
      <c r="H30" s="12">
        <f>IF(C30="X",1)+IF(D30="X",2)+IF(E30="X",3)+IF(F30="X",4)+IF(G30="X",5)</f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12"/>
      <c r="G32" s="31" t="s">
        <v>77</v>
      </c>
      <c r="H32" s="12">
        <f>IF(C32="X",1)+IF(D32="X",2)+IF(E32="X",3)+IF(F32="X",4)+IF(G32="X",5)</f>
        <v>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12"/>
      <c r="G34" s="31" t="s">
        <v>77</v>
      </c>
      <c r="H34" s="12">
        <f>IF(C34="X",1)+IF(D34="X",2)+IF(E34="X",3)+IF(F34="X",4)+IF(G34="X",5)</f>
        <v>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31" t="s">
        <v>77</v>
      </c>
      <c r="G36" s="12"/>
      <c r="H36" s="12">
        <f>IF(C36="X",1)+IF(D36="X",2)+IF(E36="X",3)+IF(F36="X",4)+IF(G36="X",5)</f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33" t="s">
        <v>84</v>
      </c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31" t="s">
        <v>77</v>
      </c>
      <c r="G2" s="12"/>
      <c r="H2" s="12">
        <f>IF(C2="X",1)+IF(D2="X",2)+IF(E2="X",3)+IF(F2="X",4)+IF(G2="X",5)</f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31" t="s">
        <v>77</v>
      </c>
      <c r="G4" s="12"/>
      <c r="H4" s="12">
        <f>IF(C4="X",1)+IF(D4="X",2)+IF(E4="X",3)+IF(F4="X",4)+IF(G4="X",5)</f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31" t="s">
        <v>77</v>
      </c>
      <c r="G6" s="12"/>
      <c r="H6" s="12">
        <f>IF(C6="X",1)+IF(D6="X",2)+IF(E6="X",3)+IF(F6="X",4)+IF(G6="X",5)</f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31" t="s">
        <v>77</v>
      </c>
      <c r="G8" s="12"/>
      <c r="H8" s="12">
        <f>IF(C8="X",1)+IF(D8="X",2)+IF(E8="X",3)+IF(F8="X",4)+IF(G8="X",5)</f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12"/>
      <c r="G10" s="31" t="s">
        <v>77</v>
      </c>
      <c r="H10" s="12">
        <f>IF(C10="X",1)+IF(D10="X",2)+IF(E10="X",3)+IF(F10="X",4)+IF(G10="X",5)</f>
        <v>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31" t="s">
        <v>77</v>
      </c>
      <c r="G12" s="12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12"/>
      <c r="F16" s="31" t="s">
        <v>77</v>
      </c>
      <c r="G16" s="12"/>
      <c r="H16" s="12">
        <f>IF(C16="X",1)+IF(D16="X",2)+IF(E16="X",3)+IF(F16="X",4)+IF(G16="X",5)</f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31" t="s">
        <v>77</v>
      </c>
      <c r="F18" s="12"/>
      <c r="G18" s="12"/>
      <c r="H18" s="12">
        <f>IF(C18="X",1)+IF(D18="X",2)+IF(E18="X",3)+IF(F18="X",4)+IF(G18="X",5)</f>
        <v>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31" t="s">
        <v>77</v>
      </c>
      <c r="G20" s="12"/>
      <c r="H20" s="12">
        <f>IF(C20="X",1)+IF(D20="X",2)+IF(E20="X",3)+IF(F20="X",4)+IF(G20="X",5)</f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 t="s">
        <v>77</v>
      </c>
      <c r="G22" s="12"/>
      <c r="H22" s="12">
        <f>IF(C22="X",1)+IF(D22="X",2)+IF(E22="X",3)+IF(F22="X",4)+IF(G22="X",5)</f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31" t="s">
        <v>77</v>
      </c>
      <c r="G24" s="12"/>
      <c r="H24" s="12">
        <f>IF(C24="X",1)+IF(D24="X",2)+IF(E24="X",3)+IF(F24="X",4)+IF(G24="X",5)</f>
        <v>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31" t="s">
        <v>77</v>
      </c>
      <c r="F26" s="12"/>
      <c r="G26" s="12"/>
      <c r="H26" s="12">
        <f>IF(C26="X",1)+IF(D26="X",2)+IF(E26="X",3)+IF(F26="X",4)+IF(G26="X",5)</f>
        <v>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31" t="s">
        <v>77</v>
      </c>
      <c r="F28" s="12"/>
      <c r="G28" s="12"/>
      <c r="H28" s="12">
        <f>IF(C28="X",1)+IF(D28="X",2)+IF(E28="X",3)+IF(F28="X",4)+IF(G28="X",5)</f>
        <v>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31" t="s">
        <v>77</v>
      </c>
      <c r="G30" s="12"/>
      <c r="H30" s="12">
        <f>IF(C30="X",1)+IF(D30="X",2)+IF(E30="X",3)+IF(F30="X",4)+IF(G30="X",5)</f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31" t="s">
        <v>77</v>
      </c>
      <c r="G32" s="12"/>
      <c r="H32" s="12">
        <f>IF(C32="X",1)+IF(D32="X",2)+IF(E32="X",3)+IF(F32="X",4)+IF(G32="X",5)</f>
        <v>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31" t="s">
        <v>77</v>
      </c>
      <c r="F34" s="12"/>
      <c r="G34" s="12"/>
      <c r="H34" s="12">
        <f>IF(C34="X",1)+IF(D34="X",2)+IF(E34="X",3)+IF(F34="X",4)+IF(G34="X",5)</f>
        <v>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31" t="s">
        <v>77</v>
      </c>
      <c r="G36" s="12"/>
      <c r="H36" s="12">
        <f>IF(C36="X",1)+IF(D36="X",2)+IF(E36="X",3)+IF(F36="X",4)+IF(G36="X",5)</f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31" t="s">
        <v>77</v>
      </c>
      <c r="H2" s="12">
        <f>IF(C2="X",1)+IF(D2="X",2)+IF(E2="X",3)+IF(F2="X",4)+IF(G2="X",5)</f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12"/>
      <c r="G4" s="31" t="s">
        <v>77</v>
      </c>
      <c r="H4" s="12">
        <f>IF(C4="X",1)+IF(D4="X",2)+IF(E4="X",3)+IF(F4="X",4)+IF(G4="X",5)</f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12"/>
      <c r="G6" s="31" t="s">
        <v>77</v>
      </c>
      <c r="H6" s="12">
        <f>IF(C6="X",1)+IF(D6="X",2)+IF(E6="X",3)+IF(F6="X",4)+IF(G6="X",5)</f>
        <v>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31" t="s">
        <v>77</v>
      </c>
      <c r="G8" s="12"/>
      <c r="H8" s="12">
        <f>IF(C8="X",1)+IF(D8="X",2)+IF(E8="X",3)+IF(F8="X",4)+IF(G8="X",5)</f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31" t="s">
        <v>77</v>
      </c>
      <c r="G10" s="12"/>
      <c r="H10" s="12">
        <f>IF(C10="X",1)+IF(D10="X",2)+IF(E10="X",3)+IF(F10="X",4)+IF(G10="X",5)</f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31" t="s">
        <v>77</v>
      </c>
      <c r="G12" s="12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12"/>
      <c r="F16" s="31" t="s">
        <v>77</v>
      </c>
      <c r="G16" s="12"/>
      <c r="H16" s="12">
        <f>IF(C16="X",1)+IF(D16="X",2)+IF(E16="X",3)+IF(F16="X",4)+IF(G16="X",5)</f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31" t="s">
        <v>77</v>
      </c>
      <c r="G18" s="12"/>
      <c r="H18" s="12">
        <f>IF(C18="X",1)+IF(D18="X",2)+IF(E18="X",3)+IF(F18="X",4)+IF(G18="X",5)</f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31" t="s">
        <v>77</v>
      </c>
      <c r="F20" s="12"/>
      <c r="G20" s="12"/>
      <c r="H20" s="12">
        <f>IF(C20="X",1)+IF(D20="X",2)+IF(E20="X",3)+IF(F20="X",4)+IF(G20="X",5)</f>
        <v>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12"/>
      <c r="G22" s="31" t="s">
        <v>77</v>
      </c>
      <c r="H22" s="12">
        <f>IF(C22="X",1)+IF(D22="X",2)+IF(E22="X",3)+IF(F22="X",4)+IF(G22="X",5)</f>
        <v>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31" t="s">
        <v>77</v>
      </c>
      <c r="F24" s="12"/>
      <c r="G24" s="12"/>
      <c r="H24" s="12">
        <f>IF(C24="X",1)+IF(D24="X",2)+IF(E24="X",3)+IF(F24="X",4)+IF(G24="X",5)</f>
        <v>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12"/>
      <c r="G26" s="31" t="s">
        <v>77</v>
      </c>
      <c r="H26" s="12">
        <f>IF(C26="X",1)+IF(D26="X",2)+IF(E26="X",3)+IF(F26="X",4)+IF(G26="X",5)</f>
        <v>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31" t="s">
        <v>77</v>
      </c>
      <c r="G28" s="12"/>
      <c r="H28" s="12">
        <f>IF(C28="X",1)+IF(D28="X",2)+IF(E28="X",3)+IF(F28="X",4)+IF(G28="X",5)</f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31" t="s">
        <v>77</v>
      </c>
      <c r="G30" s="12"/>
      <c r="H30" s="12">
        <f>IF(C30="X",1)+IF(D30="X",2)+IF(E30="X",3)+IF(F30="X",4)+IF(G30="X",5)</f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31" t="s">
        <v>77</v>
      </c>
      <c r="G32" s="12"/>
      <c r="H32" s="12">
        <f>IF(C32="X",1)+IF(D32="X",2)+IF(E32="X",3)+IF(F32="X",4)+IF(G32="X",5)</f>
        <v>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31" t="s">
        <v>77</v>
      </c>
      <c r="F34" s="12"/>
      <c r="G34" s="12"/>
      <c r="H34" s="12">
        <f>IF(C34="X",1)+IF(D34="X",2)+IF(E34="X",3)+IF(F34="X",4)+IF(G34="X",5)</f>
        <v>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12"/>
      <c r="G36" s="31" t="s">
        <v>77</v>
      </c>
      <c r="H36" s="12">
        <f>IF(C36="X",1)+IF(D36="X",2)+IF(E36="X",3)+IF(F36="X",4)+IF(G36="X",5)</f>
        <v>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31" t="s">
        <v>77</v>
      </c>
      <c r="G2" s="12"/>
      <c r="H2" s="12">
        <f>IF(C2="X",1)+IF(D2="X",2)+IF(E2="X",3)+IF(F2="X",4)+IF(G2="X",5)</f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31" t="s">
        <v>77</v>
      </c>
      <c r="F4" s="12"/>
      <c r="G4" s="12"/>
      <c r="H4" s="12">
        <f>IF(C4="X",1)+IF(D4="X",2)+IF(E4="X",3)+IF(F4="X",4)+IF(G4="X",5)</f>
        <v>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12"/>
      <c r="G6" s="31" t="s">
        <v>77</v>
      </c>
      <c r="H6" s="12">
        <f>IF(C6="X",1)+IF(D6="X",2)+IF(E6="X",3)+IF(F6="X",4)+IF(G6="X",5)</f>
        <v>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12"/>
      <c r="G8" s="31" t="s">
        <v>77</v>
      </c>
      <c r="H8" s="12">
        <f>IF(C8="X",1)+IF(D8="X",2)+IF(E8="X",3)+IF(F8="X",4)+IF(G8="X",5)</f>
        <v>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31" t="s">
        <v>77</v>
      </c>
      <c r="G10" s="12"/>
      <c r="H10" s="12">
        <f>IF(C10="X",1)+IF(D10="X",2)+IF(E10="X",3)+IF(F10="X",4)+IF(G10="X",5)</f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31" t="s">
        <v>77</v>
      </c>
      <c r="F12" s="12"/>
      <c r="G12" s="12"/>
      <c r="H12" s="12">
        <f>IF(C12="X",1)+IF(D12="X",2)+IF(E12="X",3)+IF(F12="X",4)+IF(G12="X",5)</f>
        <v>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31" t="s">
        <v>77</v>
      </c>
      <c r="F16" s="12"/>
      <c r="G16" s="12"/>
      <c r="H16" s="12">
        <f>IF(C16="X",1)+IF(D16="X",2)+IF(E16="X",3)+IF(F16="X",4)+IF(G16="X",5)</f>
        <v>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31" t="s">
        <v>77</v>
      </c>
      <c r="G18" s="12"/>
      <c r="H18" s="12">
        <f>IF(C18="X",1)+IF(D18="X",2)+IF(E18="X",3)+IF(F18="X",4)+IF(G18="X",5)</f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31" t="s">
        <v>77</v>
      </c>
      <c r="G20" s="12"/>
      <c r="H20" s="12">
        <f>IF(C20="X",1)+IF(D20="X",2)+IF(E20="X",3)+IF(F20="X",4)+IF(G20="X",5)</f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12"/>
      <c r="G22" s="31" t="s">
        <v>77</v>
      </c>
      <c r="H22" s="12">
        <f>IF(C22="X",1)+IF(D22="X",2)+IF(E22="X",3)+IF(F22="X",4)+IF(G22="X",5)</f>
        <v>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31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31" t="s">
        <v>77</v>
      </c>
      <c r="G26" s="12"/>
      <c r="H26" s="12">
        <f>IF(C26="X",1)+IF(D26="X",2)+IF(E26="X",3)+IF(F26="X",4)+IF(G26="X",5)</f>
        <v>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31" t="s">
        <v>77</v>
      </c>
      <c r="G28" s="12"/>
      <c r="H28" s="12">
        <f>IF(C28="X",1)+IF(D28="X",2)+IF(E28="X",3)+IF(F28="X",4)+IF(G28="X",5)</f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31" t="s">
        <v>77</v>
      </c>
      <c r="F30" s="12"/>
      <c r="G30" s="12"/>
      <c r="H30" s="12">
        <f>IF(C30="X",1)+IF(D30="X",2)+IF(E30="X",3)+IF(F30="X",4)+IF(G30="X",5)</f>
        <v>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12"/>
      <c r="G32" s="31" t="s">
        <v>77</v>
      </c>
      <c r="H32" s="12">
        <f>IF(C32="X",1)+IF(D32="X",2)+IF(E32="X",3)+IF(F32="X",4)+IF(G32="X",5)</f>
        <v>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31" t="s">
        <v>77</v>
      </c>
      <c r="G34" s="12"/>
      <c r="H34" s="12">
        <f>IF(C34="X",1)+IF(D34="X",2)+IF(E34="X",3)+IF(F34="X",4)+IF(G34="X",5)</f>
        <v>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31" t="s">
        <v>77</v>
      </c>
      <c r="F36" s="31"/>
      <c r="G36" s="12"/>
      <c r="H36" s="12">
        <f>IF(C36="X",1)+IF(D36="X",2)+IF(E36="X",3)+IF(F36="X",4)+IF(G36="X",5)</f>
        <v>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31" t="s">
        <v>77</v>
      </c>
      <c r="H2" s="12">
        <f>IF(C2="X",1)+IF(D2="X",2)+IF(E2="X",3)+IF(F2="X",4)+IF(G2="X",5)</f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31"/>
      <c r="G4" s="31" t="s">
        <v>77</v>
      </c>
      <c r="H4" s="12">
        <f>IF(C4="X",1)+IF(D4="X",2)+IF(E4="X",3)+IF(F4="X",4)+IF(G4="X",5)</f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31" t="s">
        <v>77</v>
      </c>
      <c r="G6" s="12"/>
      <c r="H6" s="12">
        <f>IF(C6="X",1)+IF(D6="X",2)+IF(E6="X",3)+IF(F6="X",4)+IF(G6="X",5)</f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12"/>
      <c r="G8" s="31" t="s">
        <v>77</v>
      </c>
      <c r="H8" s="12">
        <f>IF(C8="X",1)+IF(D8="X",2)+IF(E8="X",3)+IF(F8="X",4)+IF(G8="X",5)</f>
        <v>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12"/>
      <c r="G10" s="31" t="s">
        <v>77</v>
      </c>
      <c r="H10" s="12">
        <f>IF(C10="X",1)+IF(D10="X",2)+IF(E10="X",3)+IF(F10="X",4)+IF(G10="X",5)</f>
        <v>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31" t="s">
        <v>77</v>
      </c>
      <c r="G12" s="31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12"/>
      <c r="F16" s="12"/>
      <c r="G16" s="31" t="s">
        <v>77</v>
      </c>
      <c r="H16" s="12">
        <f>IF(C16="X",1)+IF(D16="X",2)+IF(E16="X",3)+IF(F16="X",4)+IF(G16="X",5)</f>
        <v>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31" t="s">
        <v>77</v>
      </c>
      <c r="G18" s="31"/>
      <c r="H18" s="12">
        <f>IF(C18="X",1)+IF(D18="X",2)+IF(E18="X",3)+IF(F18="X",4)+IF(G18="X",5)</f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31" t="s">
        <v>77</v>
      </c>
      <c r="G20" s="31"/>
      <c r="H20" s="12">
        <f>IF(C20="X",1)+IF(D20="X",2)+IF(E20="X",3)+IF(F20="X",4)+IF(G20="X",5)</f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/>
      <c r="G22" s="31" t="s">
        <v>77</v>
      </c>
      <c r="H22" s="12">
        <f>IF(C22="X",1)+IF(D22="X",2)+IF(E22="X",3)+IF(F22="X",4)+IF(G22="X",5)</f>
        <v>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12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31" t="s">
        <v>77</v>
      </c>
      <c r="F26" s="12"/>
      <c r="G26" s="12"/>
      <c r="H26" s="12">
        <f>IF(C26="X",1)+IF(D26="X",2)+IF(E26="X",3)+IF(F26="X",4)+IF(G26="X",5)</f>
        <v>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31" t="s">
        <v>77</v>
      </c>
      <c r="G28" s="31"/>
      <c r="H28" s="12">
        <f>IF(C28="X",1)+IF(D28="X",2)+IF(E28="X",3)+IF(F28="X",4)+IF(G28="X",5)</f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12"/>
      <c r="G30" s="31" t="s">
        <v>77</v>
      </c>
      <c r="H30" s="12">
        <f>IF(C30="X",1)+IF(D30="X",2)+IF(E30="X",3)+IF(F30="X",4)+IF(G30="X",5)</f>
        <v>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12"/>
      <c r="G32" s="31" t="s">
        <v>77</v>
      </c>
      <c r="H32" s="12">
        <f>IF(C32="X",1)+IF(D32="X",2)+IF(E32="X",3)+IF(F32="X",4)+IF(G32="X",5)</f>
        <v>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12"/>
      <c r="G34" s="31" t="s">
        <v>77</v>
      </c>
      <c r="H34" s="12">
        <f>IF(C34="X",1)+IF(D34="X",2)+IF(E34="X",3)+IF(F34="X",4)+IF(G34="X",5)</f>
        <v>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31" t="s">
        <v>77</v>
      </c>
      <c r="G36" s="12"/>
      <c r="H36" s="12">
        <f>IF(C36="X",1)+IF(D36="X",2)+IF(E36="X",3)+IF(F36="X",4)+IF(G36="X",5)</f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31" t="s">
        <v>77</v>
      </c>
      <c r="H2" s="12">
        <f>IF(C2="X",1)+IF(D2="X",2)+IF(E2="X",3)+IF(F2="X",4)+IF(G2="X",5)</f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31" t="s">
        <v>77</v>
      </c>
      <c r="G4" s="12"/>
      <c r="H4" s="12">
        <f>IF(C4="X",1)+IF(D4="X",2)+IF(E4="X",3)+IF(F4="X",4)+IF(G4="X",5)</f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31" t="s">
        <v>77</v>
      </c>
      <c r="G6" s="12"/>
      <c r="H6" s="12">
        <f>IF(C6="X",1)+IF(D6="X",2)+IF(E6="X",3)+IF(F6="X",4)+IF(G6="X",5)</f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31" t="s">
        <v>77</v>
      </c>
      <c r="F8" s="31"/>
      <c r="G8" s="12"/>
      <c r="H8" s="12">
        <f>IF(C8="X",1)+IF(D8="X",2)+IF(E8="X",3)+IF(F8="X",4)+IF(G8="X",5)</f>
        <v>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31" t="s">
        <v>77</v>
      </c>
      <c r="G10" s="12"/>
      <c r="H10" s="12">
        <f>IF(C10="X",1)+IF(D10="X",2)+IF(E10="X",3)+IF(F10="X",4)+IF(G10="X",5)</f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31" t="s">
        <v>77</v>
      </c>
      <c r="F12" s="31"/>
      <c r="G12" s="12"/>
      <c r="H12" s="12">
        <f>IF(C12="X",1)+IF(D12="X",2)+IF(E12="X",3)+IF(F12="X",4)+IF(G12="X",5)</f>
        <v>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31" t="s">
        <v>77</v>
      </c>
      <c r="E16" s="12"/>
      <c r="F16" s="12"/>
      <c r="G16" s="12"/>
      <c r="H16" s="12">
        <f>IF(C16="X",1)+IF(D16="X",2)+IF(E16="X",3)+IF(F16="X",4)+IF(G16="X",5)</f>
        <v>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31" t="s">
        <v>77</v>
      </c>
      <c r="F18" s="12"/>
      <c r="G18" s="31"/>
      <c r="H18" s="12">
        <f>IF(C18="X",1)+IF(D18="X",2)+IF(E18="X",3)+IF(F18="X",4)+IF(G18="X",5)</f>
        <v>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31" t="s">
        <v>77</v>
      </c>
      <c r="F20" s="31"/>
      <c r="G20" s="12"/>
      <c r="H20" s="12">
        <f>IF(C20="X",1)+IF(D20="X",2)+IF(E20="X",3)+IF(F20="X",4)+IF(G20="X",5)</f>
        <v>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 t="s">
        <v>77</v>
      </c>
      <c r="G22" s="12"/>
      <c r="H22" s="12">
        <f>IF(C22="X",1)+IF(D22="X",2)+IF(E22="X",3)+IF(F22="X",4)+IF(G22="X",5)</f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12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12"/>
      <c r="G26" s="31" t="s">
        <v>77</v>
      </c>
      <c r="H26" s="12">
        <f>IF(C26="X",1)+IF(D26="X",2)+IF(E26="X",3)+IF(F26="X",4)+IF(G26="X",5)</f>
        <v>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31" t="s">
        <v>77</v>
      </c>
      <c r="F28" s="12"/>
      <c r="G28" s="12"/>
      <c r="H28" s="12">
        <f>IF(C28="X",1)+IF(D28="X",2)+IF(E28="X",3)+IF(F28="X",4)+IF(G28="X",5)</f>
        <v>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31"/>
      <c r="F30" s="31" t="s">
        <v>77</v>
      </c>
      <c r="G30" s="12"/>
      <c r="H30" s="12">
        <f>IF(C30="X",1)+IF(D30="X",2)+IF(E30="X",3)+IF(F30="X",4)+IF(G30="X",5)</f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31" t="s">
        <v>77</v>
      </c>
      <c r="F32" s="12"/>
      <c r="G32" s="31"/>
      <c r="H32" s="12">
        <f>IF(C32="X",1)+IF(D32="X",2)+IF(E32="X",3)+IF(F32="X",4)+IF(G32="X",5)</f>
        <v>3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12"/>
      <c r="G34" s="31" t="s">
        <v>77</v>
      </c>
      <c r="H34" s="12">
        <f>IF(C34="X",1)+IF(D34="X",2)+IF(E34="X",3)+IF(F34="X",4)+IF(G34="X",5)</f>
        <v>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31" t="s">
        <v>77</v>
      </c>
      <c r="G36" s="12"/>
      <c r="H36" s="12">
        <f>IF(C36="X",1)+IF(D36="X",2)+IF(E36="X",3)+IF(F36="X",4)+IF(G36="X",5)</f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33" t="s">
        <v>84</v>
      </c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31" t="s">
        <v>77</v>
      </c>
      <c r="G2" s="12"/>
      <c r="H2" s="12">
        <f>IF(C2="X",1)+IF(D2="X",2)+IF(E2="X",3)+IF(F2="X",4)+IF(G2="X",5)</f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31" t="s">
        <v>77</v>
      </c>
      <c r="G4" s="12"/>
      <c r="H4" s="12">
        <f>IF(C4="X",1)+IF(D4="X",2)+IF(E4="X",3)+IF(F4="X",4)+IF(G4="X",5)</f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31" t="s">
        <v>77</v>
      </c>
      <c r="G6" s="12"/>
      <c r="H6" s="12">
        <f>IF(C6="X",1)+IF(D6="X",2)+IF(E6="X",3)+IF(F6="X",4)+IF(G6="X",5)</f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31" t="s">
        <v>77</v>
      </c>
      <c r="G8" s="12"/>
      <c r="H8" s="12">
        <f>IF(C8="X",1)+IF(D8="X",2)+IF(E8="X",3)+IF(F8="X",4)+IF(G8="X",5)</f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12"/>
      <c r="G10" s="31" t="s">
        <v>77</v>
      </c>
      <c r="H10" s="12">
        <f>IF(C10="X",1)+IF(D10="X",2)+IF(E10="X",3)+IF(F10="X",4)+IF(G10="X",5)</f>
        <v>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31" t="s">
        <v>77</v>
      </c>
      <c r="G12" s="12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12"/>
      <c r="F16" s="31" t="s">
        <v>77</v>
      </c>
      <c r="G16" s="12"/>
      <c r="H16" s="12">
        <f>IF(C16="X",1)+IF(D16="X",2)+IF(E16="X",3)+IF(F16="X",4)+IF(G16="X",5)</f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31"/>
      <c r="F18" s="12"/>
      <c r="G18" s="31" t="s">
        <v>77</v>
      </c>
      <c r="H18" s="12">
        <f>IF(C18="X",1)+IF(D18="X",2)+IF(E18="X",3)+IF(F18="X",4)+IF(G18="X",5)</f>
        <v>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31"/>
      <c r="G20" s="31" t="s">
        <v>77</v>
      </c>
      <c r="H20" s="12">
        <f>IF(C20="X",1)+IF(D20="X",2)+IF(E20="X",3)+IF(F20="X",4)+IF(G20="X",5)</f>
        <v>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 t="s">
        <v>77</v>
      </c>
      <c r="G22" s="12"/>
      <c r="H22" s="12">
        <f>IF(C22="X",1)+IF(D22="X",2)+IF(E22="X",3)+IF(F22="X",4)+IF(G22="X",5)</f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31" t="s">
        <v>77</v>
      </c>
      <c r="G24" s="12"/>
      <c r="H24" s="12">
        <f>IF(C24="X",1)+IF(D24="X",2)+IF(E24="X",3)+IF(F24="X",4)+IF(G24="X",5)</f>
        <v>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31"/>
      <c r="F26" s="12"/>
      <c r="G26" s="31" t="s">
        <v>77</v>
      </c>
      <c r="H26" s="12">
        <f>IF(C26="X",1)+IF(D26="X",2)+IF(E26="X",3)+IF(F26="X",4)+IF(G26="X",5)</f>
        <v>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31"/>
      <c r="F28" s="12"/>
      <c r="G28" s="31" t="s">
        <v>77</v>
      </c>
      <c r="H28" s="12">
        <f>IF(C28="X",1)+IF(D28="X",2)+IF(E28="X",3)+IF(F28="X",4)+IF(G28="X",5)</f>
        <v>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31" t="s">
        <v>77</v>
      </c>
      <c r="G30" s="12"/>
      <c r="H30" s="12">
        <f>IF(C30="X",1)+IF(D30="X",2)+IF(E30="X",3)+IF(F30="X",4)+IF(G30="X",5)</f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31" t="s">
        <v>77</v>
      </c>
      <c r="G32" s="12"/>
      <c r="H32" s="12">
        <f>IF(C32="X",1)+IF(D32="X",2)+IF(E32="X",3)+IF(F32="X",4)+IF(G32="X",5)</f>
        <v>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31" t="s">
        <v>77</v>
      </c>
      <c r="F34" s="12"/>
      <c r="G34" s="12"/>
      <c r="H34" s="12">
        <f>IF(C34="X",1)+IF(D34="X",2)+IF(E34="X",3)+IF(F34="X",4)+IF(G34="X",5)</f>
        <v>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31" t="s">
        <v>77</v>
      </c>
      <c r="G36" s="12"/>
      <c r="H36" s="12">
        <f>IF(C36="X",1)+IF(D36="X",2)+IF(E36="X",3)+IF(F36="X",4)+IF(G36="X",5)</f>
        <v>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12"/>
      <c r="G2" s="31" t="s">
        <v>77</v>
      </c>
      <c r="H2" s="12">
        <f>IF(C2="X",1)+IF(D2="X",2)+IF(E2="X",3)+IF(F2="X",4)+IF(G2="X",5)</f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12"/>
      <c r="F4" s="12"/>
      <c r="G4" s="31" t="s">
        <v>77</v>
      </c>
      <c r="H4" s="12">
        <f>IF(C4="X",1)+IF(D4="X",2)+IF(E4="X",3)+IF(F4="X",4)+IF(G4="X",5)</f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12"/>
      <c r="G6" s="31" t="s">
        <v>77</v>
      </c>
      <c r="H6" s="12">
        <f>IF(C6="X",1)+IF(D6="X",2)+IF(E6="X",3)+IF(F6="X",4)+IF(G6="X",5)</f>
        <v>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31" t="s">
        <v>77</v>
      </c>
      <c r="G8" s="12"/>
      <c r="H8" s="12">
        <f>IF(C8="X",1)+IF(D8="X",2)+IF(E8="X",3)+IF(F8="X",4)+IF(G8="X",5)</f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31" t="s">
        <v>77</v>
      </c>
      <c r="G10" s="12"/>
      <c r="H10" s="12">
        <f>IF(C10="X",1)+IF(D10="X",2)+IF(E10="X",3)+IF(F10="X",4)+IF(G10="X",5)</f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12"/>
      <c r="F12" s="31" t="s">
        <v>77</v>
      </c>
      <c r="G12" s="12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12"/>
      <c r="F14" s="12"/>
      <c r="G14" s="31" t="s">
        <v>77</v>
      </c>
      <c r="H14" s="12">
        <f>IF(C14="X",1)+IF(D14="X",2)+IF(E14="X",3)+IF(F14="X",4)+IF(G14="X",5)</f>
        <v>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31" t="s">
        <v>77</v>
      </c>
      <c r="F16" s="31"/>
      <c r="G16" s="12"/>
      <c r="H16" s="12">
        <f>IF(C16="X",1)+IF(D16="X",2)+IF(E16="X",3)+IF(F16="X",4)+IF(G16="X",5)</f>
        <v>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31" t="s">
        <v>77</v>
      </c>
      <c r="E18" s="12"/>
      <c r="F18" s="31"/>
      <c r="G18" s="12"/>
      <c r="H18" s="12">
        <f>IF(C18="X",1)+IF(D18="X",2)+IF(E18="X",3)+IF(F18="X",4)+IF(G18="X",5)</f>
        <v>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31" t="s">
        <v>77</v>
      </c>
      <c r="F20" s="12"/>
      <c r="G20" s="12"/>
      <c r="H20" s="12">
        <f>IF(C20="X",1)+IF(D20="X",2)+IF(E20="X",3)+IF(F20="X",4)+IF(G20="X",5)</f>
        <v>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/>
      <c r="G22" s="31" t="s">
        <v>77</v>
      </c>
      <c r="H22" s="12">
        <f>IF(C22="X",1)+IF(D22="X",2)+IF(E22="X",3)+IF(F22="X",4)+IF(G22="X",5)</f>
        <v>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31"/>
      <c r="F24" s="31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31" t="s">
        <v>77</v>
      </c>
      <c r="G26" s="31"/>
      <c r="H26" s="12">
        <f>IF(C26="X",1)+IF(D26="X",2)+IF(E26="X",3)+IF(F26="X",4)+IF(G26="X",5)</f>
        <v>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31" t="s">
        <v>77</v>
      </c>
      <c r="G28" s="12"/>
      <c r="H28" s="12">
        <f>IF(C28="X",1)+IF(D28="X",2)+IF(E28="X",3)+IF(F28="X",4)+IF(G28="X",5)</f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12"/>
      <c r="F30" s="31" t="s">
        <v>77</v>
      </c>
      <c r="G30" s="12"/>
      <c r="H30" s="12">
        <f>IF(C30="X",1)+IF(D30="X",2)+IF(E30="X",3)+IF(F30="X",4)+IF(G30="X",5)</f>
        <v>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31"/>
      <c r="G32" s="31" t="s">
        <v>77</v>
      </c>
      <c r="H32" s="12">
        <f>IF(C32="X",1)+IF(D32="X",2)+IF(E32="X",3)+IF(F32="X",4)+IF(G32="X",5)</f>
        <v>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31" t="s">
        <v>77</v>
      </c>
      <c r="F34" s="12"/>
      <c r="G34" s="12"/>
      <c r="H34" s="12">
        <f>IF(C34="X",1)+IF(D34="X",2)+IF(E34="X",3)+IF(F34="X",4)+IF(G34="X",5)</f>
        <v>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12"/>
      <c r="F36" s="12"/>
      <c r="G36" s="31" t="s">
        <v>77</v>
      </c>
      <c r="H36" s="12">
        <f>IF(C36="X",1)+IF(D36="X",2)+IF(E36="X",3)+IF(F36="X",4)+IF(G36="X",5)</f>
        <v>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32.0"/>
    <col customWidth="1" min="3" max="3" width="8.89"/>
    <col customWidth="1" min="4" max="4" width="13.11"/>
    <col customWidth="1" min="5" max="5" width="8.44"/>
    <col customWidth="1" min="6" max="6" width="15.44"/>
    <col customWidth="1" min="7" max="7" width="12.67"/>
    <col customWidth="1" min="8" max="8" width="8.11"/>
    <col customWidth="1" min="9" max="25" width="11.11"/>
  </cols>
  <sheetData>
    <row r="1">
      <c r="A1" s="2"/>
      <c r="B1" s="4" t="s">
        <v>2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17</v>
      </c>
      <c r="B2" s="9" t="s">
        <v>18</v>
      </c>
      <c r="C2" s="12"/>
      <c r="D2" s="12"/>
      <c r="E2" s="12"/>
      <c r="F2" s="31" t="s">
        <v>77</v>
      </c>
      <c r="G2" s="12"/>
      <c r="H2" s="12">
        <f>IF(C2="X",1)+IF(D2="X",2)+IF(E2="X",3)+IF(F2="X",4)+IF(G2="X",5)</f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/>
      <c r="B3" s="2" t="s">
        <v>25</v>
      </c>
      <c r="C3" s="2"/>
      <c r="D3" s="2"/>
      <c r="E3" s="2"/>
      <c r="F3" s="2"/>
      <c r="G3" s="2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27</v>
      </c>
      <c r="B4" s="9" t="s">
        <v>28</v>
      </c>
      <c r="C4" s="12"/>
      <c r="D4" s="12"/>
      <c r="E4" s="31"/>
      <c r="F4" s="31" t="s">
        <v>77</v>
      </c>
      <c r="G4" s="12"/>
      <c r="H4" s="12">
        <f>IF(C4="X",1)+IF(D4="X",2)+IF(E4="X",3)+IF(F4="X",4)+IF(G4="X",5)</f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/>
      <c r="B5" s="4" t="s">
        <v>25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32</v>
      </c>
      <c r="B6" s="9" t="s">
        <v>33</v>
      </c>
      <c r="C6" s="12"/>
      <c r="D6" s="12"/>
      <c r="E6" s="12"/>
      <c r="F6" s="12"/>
      <c r="G6" s="31" t="s">
        <v>77</v>
      </c>
      <c r="H6" s="12">
        <f>IF(C6="X",1)+IF(D6="X",2)+IF(E6="X",3)+IF(F6="X",4)+IF(G6="X",5)</f>
        <v>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/>
      <c r="B7" s="4" t="s">
        <v>2</v>
      </c>
      <c r="C7" s="4" t="s">
        <v>7</v>
      </c>
      <c r="D7" s="4" t="s">
        <v>9</v>
      </c>
      <c r="E7" s="4" t="s">
        <v>11</v>
      </c>
      <c r="F7" s="4" t="s">
        <v>13</v>
      </c>
      <c r="G7" s="4" t="s">
        <v>15</v>
      </c>
      <c r="H7" s="4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38</v>
      </c>
      <c r="B8" s="9" t="s">
        <v>39</v>
      </c>
      <c r="C8" s="12"/>
      <c r="D8" s="12"/>
      <c r="E8" s="12"/>
      <c r="F8" s="31" t="s">
        <v>77</v>
      </c>
      <c r="G8" s="31"/>
      <c r="H8" s="12">
        <f>IF(C8="X",1)+IF(D8="X",2)+IF(E8="X",3)+IF(F8="X",4)+IF(G8="X",5)</f>
        <v>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/>
      <c r="B9" s="4" t="s">
        <v>2</v>
      </c>
      <c r="C9" s="4" t="s">
        <v>7</v>
      </c>
      <c r="D9" s="4" t="s">
        <v>9</v>
      </c>
      <c r="E9" s="4" t="s">
        <v>11</v>
      </c>
      <c r="F9" s="4" t="s">
        <v>13</v>
      </c>
      <c r="G9" s="4" t="s">
        <v>15</v>
      </c>
      <c r="H9" s="4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43</v>
      </c>
      <c r="B10" s="9" t="s">
        <v>44</v>
      </c>
      <c r="C10" s="12"/>
      <c r="D10" s="12"/>
      <c r="E10" s="12"/>
      <c r="F10" s="31" t="s">
        <v>77</v>
      </c>
      <c r="G10" s="12"/>
      <c r="H10" s="12">
        <f>IF(C10="X",1)+IF(D10="X",2)+IF(E10="X",3)+IF(F10="X",4)+IF(G10="X",5)</f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/>
      <c r="B11" s="2" t="s">
        <v>49</v>
      </c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 t="s">
        <v>52</v>
      </c>
      <c r="B12" s="9" t="s">
        <v>53</v>
      </c>
      <c r="C12" s="12"/>
      <c r="D12" s="12"/>
      <c r="E12" s="31"/>
      <c r="F12" s="31" t="s">
        <v>77</v>
      </c>
      <c r="G12" s="12"/>
      <c r="H12" s="12">
        <f>IF(C12="X",1)+IF(D12="X",2)+IF(E12="X",3)+IF(F12="X",4)+IF(G12="X",5)</f>
        <v>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/>
      <c r="B13" s="2" t="s">
        <v>25</v>
      </c>
      <c r="C13" s="7"/>
      <c r="D13" s="7"/>
      <c r="E13" s="7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 t="s">
        <v>56</v>
      </c>
      <c r="B14" s="9" t="s">
        <v>57</v>
      </c>
      <c r="C14" s="12"/>
      <c r="D14" s="12"/>
      <c r="E14" s="31" t="s">
        <v>77</v>
      </c>
      <c r="F14" s="12"/>
      <c r="G14" s="31"/>
      <c r="H14" s="12">
        <f>IF(C14="X",1)+IF(D14="X",2)+IF(E14="X",3)+IF(F14="X",4)+IF(G14="X",5)</f>
        <v>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/>
      <c r="B15" s="4" t="s">
        <v>2</v>
      </c>
      <c r="C15" s="4" t="s">
        <v>7</v>
      </c>
      <c r="D15" s="4" t="s">
        <v>9</v>
      </c>
      <c r="E15" s="4" t="s">
        <v>11</v>
      </c>
      <c r="F15" s="4" t="s">
        <v>13</v>
      </c>
      <c r="G15" s="4" t="s">
        <v>15</v>
      </c>
      <c r="H15" s="4" t="s">
        <v>16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 t="s">
        <v>60</v>
      </c>
      <c r="B16" s="9" t="s">
        <v>61</v>
      </c>
      <c r="C16" s="12"/>
      <c r="D16" s="12"/>
      <c r="E16" s="31" t="s">
        <v>77</v>
      </c>
      <c r="F16" s="12"/>
      <c r="G16" s="12"/>
      <c r="H16" s="12">
        <f>IF(C16="X",1)+IF(D16="X",2)+IF(E16="X",3)+IF(F16="X",4)+IF(G16="X",5)</f>
        <v>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/>
      <c r="B17" s="2" t="s">
        <v>25</v>
      </c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 t="s">
        <v>62</v>
      </c>
      <c r="B18" s="9" t="s">
        <v>63</v>
      </c>
      <c r="C18" s="12"/>
      <c r="D18" s="12"/>
      <c r="E18" s="12"/>
      <c r="F18" s="31" t="s">
        <v>77</v>
      </c>
      <c r="G18" s="12"/>
      <c r="H18" s="12">
        <f>IF(C18="X",1)+IF(D18="X",2)+IF(E18="X",3)+IF(F18="X",4)+IF(G18="X",5)</f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/>
      <c r="B19" s="2" t="s">
        <v>64</v>
      </c>
      <c r="C19" s="7"/>
      <c r="D19" s="7"/>
      <c r="E19" s="7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s">
        <v>65</v>
      </c>
      <c r="B20" s="9" t="s">
        <v>66</v>
      </c>
      <c r="C20" s="12"/>
      <c r="D20" s="12"/>
      <c r="E20" s="12"/>
      <c r="F20" s="31" t="s">
        <v>77</v>
      </c>
      <c r="G20" s="12"/>
      <c r="H20" s="12">
        <f>IF(C20="X",1)+IF(D20="X",2)+IF(E20="X",3)+IF(F20="X",4)+IF(G20="X",5)</f>
        <v>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/>
      <c r="B21" s="4" t="s">
        <v>25</v>
      </c>
      <c r="C21" s="4" t="s">
        <v>7</v>
      </c>
      <c r="D21" s="4" t="s">
        <v>9</v>
      </c>
      <c r="E21" s="4" t="s">
        <v>11</v>
      </c>
      <c r="F21" s="4" t="s">
        <v>13</v>
      </c>
      <c r="G21" s="4" t="s">
        <v>15</v>
      </c>
      <c r="H21" s="4" t="s">
        <v>16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 t="s">
        <v>67</v>
      </c>
      <c r="B22" s="9" t="s">
        <v>68</v>
      </c>
      <c r="C22" s="12"/>
      <c r="D22" s="12"/>
      <c r="E22" s="12"/>
      <c r="F22" s="31" t="s">
        <v>77</v>
      </c>
      <c r="G22" s="31"/>
      <c r="H22" s="12">
        <f>IF(C22="X",1)+IF(D22="X",2)+IF(E22="X",3)+IF(F22="X",4)+IF(G22="X",5)</f>
        <v>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/>
      <c r="B23" s="2" t="s">
        <v>64</v>
      </c>
      <c r="C23" s="7"/>
      <c r="D23" s="7"/>
      <c r="E23" s="7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 t="s">
        <v>69</v>
      </c>
      <c r="B24" s="9" t="s">
        <v>70</v>
      </c>
      <c r="C24" s="12"/>
      <c r="D24" s="12"/>
      <c r="E24" s="12"/>
      <c r="F24" s="31"/>
      <c r="G24" s="31" t="s">
        <v>77</v>
      </c>
      <c r="H24" s="12">
        <f>IF(C24="X",1)+IF(D24="X",2)+IF(E24="X",3)+IF(F24="X",4)+IF(G24="X",5)</f>
        <v>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/>
      <c r="B25" s="4" t="s">
        <v>64</v>
      </c>
      <c r="C25" s="4" t="s">
        <v>7</v>
      </c>
      <c r="D25" s="4" t="s">
        <v>9</v>
      </c>
      <c r="E25" s="4" t="s">
        <v>11</v>
      </c>
      <c r="F25" s="4" t="s">
        <v>13</v>
      </c>
      <c r="G25" s="4" t="s">
        <v>15</v>
      </c>
      <c r="H25" s="4" t="s">
        <v>16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71</v>
      </c>
      <c r="B26" s="9" t="s">
        <v>72</v>
      </c>
      <c r="C26" s="12"/>
      <c r="D26" s="12"/>
      <c r="E26" s="12"/>
      <c r="F26" s="31" t="s">
        <v>77</v>
      </c>
      <c r="G26" s="12"/>
      <c r="H26" s="12">
        <f>IF(C26="X",1)+IF(D26="X",2)+IF(E26="X",3)+IF(F26="X",4)+IF(G26="X",5)</f>
        <v>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/>
      <c r="B27" s="4" t="s">
        <v>25</v>
      </c>
      <c r="C27" s="4" t="s">
        <v>7</v>
      </c>
      <c r="D27" s="4" t="s">
        <v>9</v>
      </c>
      <c r="E27" s="4" t="s">
        <v>11</v>
      </c>
      <c r="F27" s="4" t="s">
        <v>13</v>
      </c>
      <c r="G27" s="4" t="s">
        <v>15</v>
      </c>
      <c r="H27" s="4" t="s">
        <v>16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7" t="s">
        <v>73</v>
      </c>
      <c r="B28" s="9" t="s">
        <v>74</v>
      </c>
      <c r="C28" s="12"/>
      <c r="D28" s="12"/>
      <c r="E28" s="12"/>
      <c r="F28" s="31" t="s">
        <v>77</v>
      </c>
      <c r="G28" s="12"/>
      <c r="H28" s="12">
        <f>IF(C28="X",1)+IF(D28="X",2)+IF(E28="X",3)+IF(F28="X",4)+IF(G28="X",5)</f>
        <v>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/>
      <c r="B29" s="2" t="s">
        <v>64</v>
      </c>
      <c r="C29" s="7"/>
      <c r="D29" s="7"/>
      <c r="E29" s="7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7" t="s">
        <v>75</v>
      </c>
      <c r="B30" s="30" t="s">
        <v>76</v>
      </c>
      <c r="C30" s="12"/>
      <c r="D30" s="12"/>
      <c r="E30" s="31" t="s">
        <v>77</v>
      </c>
      <c r="F30" s="12"/>
      <c r="G30" s="12"/>
      <c r="H30" s="12">
        <f>IF(C30="X",1)+IF(D30="X",2)+IF(E30="X",3)+IF(F30="X",4)+IF(G30="X",5)</f>
        <v>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/>
      <c r="B31" s="4" t="s">
        <v>64</v>
      </c>
      <c r="C31" s="4" t="s">
        <v>7</v>
      </c>
      <c r="D31" s="4" t="s">
        <v>9</v>
      </c>
      <c r="E31" s="4" t="s">
        <v>11</v>
      </c>
      <c r="F31" s="4" t="s">
        <v>13</v>
      </c>
      <c r="G31" s="4" t="s">
        <v>15</v>
      </c>
      <c r="H31" s="4" t="s">
        <v>16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78</v>
      </c>
      <c r="B32" s="9" t="s">
        <v>79</v>
      </c>
      <c r="C32" s="12"/>
      <c r="D32" s="12"/>
      <c r="E32" s="12"/>
      <c r="F32" s="12"/>
      <c r="G32" s="31" t="s">
        <v>77</v>
      </c>
      <c r="H32" s="12">
        <f>IF(C32="X",1)+IF(D32="X",2)+IF(E32="X",3)+IF(F32="X",4)+IF(G32="X",5)</f>
        <v>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/>
      <c r="B33" s="4" t="s">
        <v>49</v>
      </c>
      <c r="C33" s="4" t="s">
        <v>7</v>
      </c>
      <c r="D33" s="4" t="s">
        <v>9</v>
      </c>
      <c r="E33" s="4" t="s">
        <v>11</v>
      </c>
      <c r="F33" s="4" t="s">
        <v>13</v>
      </c>
      <c r="G33" s="4" t="s">
        <v>15</v>
      </c>
      <c r="H33" s="4" t="s">
        <v>16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7" t="s">
        <v>80</v>
      </c>
      <c r="B34" s="9" t="s">
        <v>81</v>
      </c>
      <c r="C34" s="12"/>
      <c r="D34" s="12"/>
      <c r="E34" s="12"/>
      <c r="F34" s="31" t="s">
        <v>77</v>
      </c>
      <c r="G34" s="12"/>
      <c r="H34" s="12">
        <f>IF(C34="X",1)+IF(D34="X",2)+IF(E34="X",3)+IF(F34="X",4)+IF(G34="X",5)</f>
        <v>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7"/>
      <c r="B35" s="2" t="s">
        <v>64</v>
      </c>
      <c r="C35" s="7"/>
      <c r="D35" s="7"/>
      <c r="E35" s="7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82</v>
      </c>
      <c r="B36" s="32" t="s">
        <v>83</v>
      </c>
      <c r="C36" s="12"/>
      <c r="D36" s="12"/>
      <c r="E36" s="31"/>
      <c r="F36" s="31"/>
      <c r="G36" s="31" t="s">
        <v>77</v>
      </c>
      <c r="H36" s="12">
        <f>IF(C36="X",1)+IF(D36="X",2)+IF(E36="X",3)+IF(F36="X",4)+IF(G36="X",5)</f>
        <v>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2017-10-12T15:51:15Z</dcterms:created>
  <dc:creator>Utente di Microsoft Office</dc:creator>
</cp:coreProperties>
</file>