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4"/>
    <sheet state="visible" name="Tabella dei risultati" sheetId="2" r:id="rId5"/>
    <sheet state="visible" name="Medie delle risposte" sheetId="3" r:id="rId6"/>
    <sheet state="visible" name="Questionario base" sheetId="4" r:id="rId7"/>
    <sheet state="visible" name="Questionario #1" sheetId="5" r:id="rId8"/>
    <sheet state="visible" name="Questionario #2" sheetId="6" r:id="rId9"/>
    <sheet state="visible" name="Questionario #3" sheetId="7" r:id="rId10"/>
    <sheet state="visible" name="Questionario #4" sheetId="8" r:id="rId11"/>
    <sheet state="visible" name="Questionario #5" sheetId="9" r:id="rId12"/>
  </sheets>
  <definedNames/>
  <calcPr/>
  <extLst>
    <ext uri="GoogleSheetsCustomDataVersion2">
      <go:sheetsCustomData xmlns:go="http://customooxmlschemas.google.com/" r:id="rId13" roundtripDataChecksum="cC6bfoDn2n8roqMNp24Fd3zdhIIBmIdE7DNokmSGLrs="/>
    </ext>
  </extLst>
</workbook>
</file>

<file path=xl/sharedStrings.xml><?xml version="1.0" encoding="utf-8"?>
<sst xmlns="http://schemas.openxmlformats.org/spreadsheetml/2006/main" count="1244" uniqueCount="122">
  <si>
    <t>#</t>
  </si>
  <si>
    <t>Tasks</t>
  </si>
  <si>
    <t>Decision Making</t>
  </si>
  <si>
    <t xml:space="preserve">Self-Management </t>
  </si>
  <si>
    <t xml:space="preserve">Communication </t>
  </si>
  <si>
    <t>Engagement</t>
  </si>
  <si>
    <t>Consultare gli orari ufficiali</t>
  </si>
  <si>
    <t>PC</t>
  </si>
  <si>
    <t>SE</t>
  </si>
  <si>
    <t>Controllare la disponibilità dei biglietti ed i loro prezzi</t>
  </si>
  <si>
    <t>Consultare le informazioni generali</t>
  </si>
  <si>
    <t>Ottenere informazioni sull'accessibilità del sito</t>
  </si>
  <si>
    <t>PC, K&amp;S</t>
  </si>
  <si>
    <t>Traduzione in tempo reale</t>
  </si>
  <si>
    <t>MOT</t>
  </si>
  <si>
    <t>Creazione e condivisione di itinerari</t>
  </si>
  <si>
    <t>Visualizzazione dei badge distintivi ottenuti e del livello di turista</t>
  </si>
  <si>
    <t>Filtrare siti per preferenze</t>
  </si>
  <si>
    <t>PC, MOT</t>
  </si>
  <si>
    <t>Approfondire informazioni</t>
  </si>
  <si>
    <t>Consiglire una visita a un sito</t>
  </si>
  <si>
    <t>K&amp;S</t>
  </si>
  <si>
    <t>Legenda</t>
  </si>
  <si>
    <t>SE = Self-Efficacy</t>
  </si>
  <si>
    <t>K&amp;S = Knowledge &amp; Skills</t>
  </si>
  <si>
    <t>PC = Personal Control</t>
  </si>
  <si>
    <t>MOT = Motivation</t>
  </si>
  <si>
    <t>ASE</t>
  </si>
  <si>
    <t>AKS</t>
  </si>
  <si>
    <t>APC</t>
  </si>
  <si>
    <t>AMOT</t>
  </si>
  <si>
    <t>-</t>
  </si>
  <si>
    <t>ASE = Average Self-Efficacy</t>
  </si>
  <si>
    <t>AKS = Average Knowledge &amp; Skills</t>
  </si>
  <si>
    <t>APC = Average Personal Control</t>
  </si>
  <si>
    <t>AMOT = Average Motivation</t>
  </si>
  <si>
    <t>Self Efficacy</t>
  </si>
  <si>
    <t>Valore</t>
  </si>
  <si>
    <t>T1_SE1</t>
  </si>
  <si>
    <t>In che modo hai consultato gli orari ufficiali del sito?</t>
  </si>
  <si>
    <t>T1_SE2</t>
  </si>
  <si>
    <t>Quanto hai trovato facile reperire le informazioni sugli orari?</t>
  </si>
  <si>
    <t>T1_SE3</t>
  </si>
  <si>
    <t>Le informazioni che hai trovato risultavano coerenti con gli orari effettivi del sito?</t>
  </si>
  <si>
    <t>Personal Control</t>
  </si>
  <si>
    <t>T1_PC1</t>
  </si>
  <si>
    <t>In che modo riesci a pianificare, in maniera efficace e ottimizzando il tempo, il tuo viaggio consultando gli orari ufficiali?</t>
  </si>
  <si>
    <t>T1_PC2</t>
  </si>
  <si>
    <t>Quanto hai trovato facile concordare l'orario di visita con l'orario di apertura del sito?</t>
  </si>
  <si>
    <t>T2_PC1</t>
  </si>
  <si>
    <t>Quanto hai trovato facile reperire informazioni sulla disponibilità dei biglietti ed i loro prezzi?</t>
  </si>
  <si>
    <t>T2_PC2</t>
  </si>
  <si>
    <t>In che modo sei riuscito a pianificare l'acquisto dei biglietti?</t>
  </si>
  <si>
    <t>T2_PC3</t>
  </si>
  <si>
    <t>Quanto hai trovato facile capire se i biglietti per un determinato sito possono essere acquistati online?</t>
  </si>
  <si>
    <t>T3_SE1</t>
  </si>
  <si>
    <t>In che modo sei riuscito a reperire le informazioni in maniera dettagliata?</t>
  </si>
  <si>
    <t>T3_SE2</t>
  </si>
  <si>
    <t xml:space="preserve">In che modo hai trovato ciò che ti interessa? </t>
  </si>
  <si>
    <t>T3_SE3</t>
  </si>
  <si>
    <t>Le informazioni fornite risultano essere...</t>
  </si>
  <si>
    <t>T4_SE1</t>
  </si>
  <si>
    <t>Conoscere l'accessibilità del sito ti ha permesso di creare un itinerario migliore? Se si, come ti è sembrato?</t>
  </si>
  <si>
    <t>T4_SE2</t>
  </si>
  <si>
    <t>Le informazioni sulle misure di accessibilità avvisano se il sito è visitabile da solo o è necessario/suggerito un accompagnatore?</t>
  </si>
  <si>
    <t>Knowledge&amp;Skills</t>
  </si>
  <si>
    <t>T4_KS1</t>
  </si>
  <si>
    <t>Le informazioni sulle misure di accessibilità sono sufficienti per chi è portatore di handicap?</t>
  </si>
  <si>
    <t>T4_KS2</t>
  </si>
  <si>
    <t>Le informazioni sulle misure di accessibilità informano sul tipo di misure adottate e sui supporti disponibili?</t>
  </si>
  <si>
    <t>T4_PC1</t>
  </si>
  <si>
    <t>Le informazioni sulle misure di accessibilità al sito ha influenzato le tue decisioni?</t>
  </si>
  <si>
    <t>T4_PC2</t>
  </si>
  <si>
    <t>Quanto hai trovato facile pianificare una visita dalle informazioni sulle misure di accessibilità trovate?</t>
  </si>
  <si>
    <t>T5_SE1</t>
  </si>
  <si>
    <t>Quanto sono chiare le informazioni tradotte nella tua lingua?</t>
  </si>
  <si>
    <t>T5_SE2</t>
  </si>
  <si>
    <t>Quanto sono complete le informazioni tradotte nella tua lingua?</t>
  </si>
  <si>
    <t>T5_PC1</t>
  </si>
  <si>
    <t>Le traduzioni disponibili hanno influenzato le tue decisioni?</t>
  </si>
  <si>
    <t>T5_PC2</t>
  </si>
  <si>
    <t>Quanto hai trovato facile pianificare una visita dalle informazioni sulle traduzioni disponoibili?</t>
  </si>
  <si>
    <t>Motivation</t>
  </si>
  <si>
    <t>T5_MOT1</t>
  </si>
  <si>
    <t>Come conoscere le curiosità di un sito nella tua lingua ti ha motivato visitarlo?</t>
  </si>
  <si>
    <t>T6_PC1</t>
  </si>
  <si>
    <t>Quanto le tue conoscenze hanno influenzato la creazione di nuovi itinerari?</t>
  </si>
  <si>
    <t>T6_PC2</t>
  </si>
  <si>
    <t>Quanto hai trovato facile informarsi sulle conoscenze necessarie alla creazione di nuovi itinerari?</t>
  </si>
  <si>
    <t>T6_MOT1</t>
  </si>
  <si>
    <t>Quanto ha influenzato la pianificazione del tuo viaggio conoscere un particolare itinerario?</t>
  </si>
  <si>
    <t>T6_MOT2</t>
  </si>
  <si>
    <t>Gli itinerari condivisi sono soddisfacenti?</t>
  </si>
  <si>
    <t>T7_MOT1</t>
  </si>
  <si>
    <t>I badge ottenuti dai diversi utenti, ti hanno motivato nella scelta di un determinato itinerario o di un determinato sito?</t>
  </si>
  <si>
    <t>T7_MOT2</t>
  </si>
  <si>
    <t>L'aumento del livello di "turista" ti da soddisfazione?</t>
  </si>
  <si>
    <t>T8_PC1</t>
  </si>
  <si>
    <t>In che maniera i tuoi interessi hanno influenzato l'individuazione di un sito da visitare?</t>
  </si>
  <si>
    <t>T8_PC2</t>
  </si>
  <si>
    <t>Le categorie di siti disponibili sono in linea con i propri interessi?</t>
  </si>
  <si>
    <t>T8_MOT1</t>
  </si>
  <si>
    <t>Quanto è motivante la ricerca dei siti per categoria di interesse?</t>
  </si>
  <si>
    <t>T9_MOT1</t>
  </si>
  <si>
    <t xml:space="preserve">Quanto sono motivanti gli approfondimenti storici disponibili? </t>
  </si>
  <si>
    <t>T9_MOT2</t>
  </si>
  <si>
    <t>Gli approfondimenti storici disponibili soddisfano le tue necessità?</t>
  </si>
  <si>
    <t>T10_KS1</t>
  </si>
  <si>
    <t>Dopo la visita, si è a conoscenza di abbastanza informazioni per consigliare o meno una visita?</t>
  </si>
  <si>
    <t>T10_MOT1</t>
  </si>
  <si>
    <t>In che modo un itinerario consigliato da un conoscente influenza la tua visita?</t>
  </si>
  <si>
    <t>T10_MOT2</t>
  </si>
  <si>
    <t>In che modo un itinerario consigliato da altri utenti non conoscenti influenza la tua visita?</t>
  </si>
  <si>
    <t>Scarso</t>
  </si>
  <si>
    <t>Sufficiente</t>
  </si>
  <si>
    <t>Buono</t>
  </si>
  <si>
    <t>Molto Buono</t>
  </si>
  <si>
    <t>Eccellente</t>
  </si>
  <si>
    <t>T8_SE1</t>
  </si>
  <si>
    <t>T8_SE2</t>
  </si>
  <si>
    <t>x</t>
  </si>
  <si>
    <t>Quanto hai trovato facile pianificare una visita dalle informazioni sulle traduzioni disponibili?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</si>
</sst>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b/>
      <i/>
      <sz val="16.0"/>
      <color rgb="FF003366"/>
      <name val="Arial"/>
    </font>
    <font>
      <sz val="12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i/>
      <sz val="12.0"/>
      <color theme="1"/>
      <name val="Arial"/>
    </font>
    <font>
      <color theme="1"/>
      <name val="Calibri"/>
      <scheme val="minor"/>
    </font>
    <font>
      <b/>
      <sz val="16.0"/>
      <color rgb="FF003366"/>
      <name val="Arial"/>
    </font>
    <font>
      <b/>
      <color rgb="FF000000"/>
      <name val="Arial"/>
    </font>
    <font>
      <color rgb="FFFF0000"/>
      <name val="Calibri"/>
      <scheme val="minor"/>
    </font>
    <font>
      <sz val="16.0"/>
      <color rgb="FF003366"/>
      <name val="Arial"/>
    </font>
    <font>
      <b/>
      <sz val="16.0"/>
      <color rgb="FF000000"/>
      <name val="Arial"/>
    </font>
    <font>
      <strike/>
      <sz val="16.0"/>
      <color rgb="FF0033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0" fillId="0" fontId="5" numFmtId="0" xfId="0" applyFont="1"/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6" numFmtId="0" xfId="0" applyBorder="1" applyFont="1"/>
    <xf borderId="0" fillId="0" fontId="7" numFmtId="0" xfId="0" applyAlignment="1" applyFont="1">
      <alignment horizontal="center"/>
    </xf>
    <xf borderId="0" fillId="2" fontId="8" numFmtId="0" xfId="0" applyAlignment="1" applyFont="1">
      <alignment horizontal="center" readingOrder="1" shrinkToFit="0" vertical="center" wrapText="1"/>
    </xf>
    <xf borderId="1" fillId="2" fontId="8" numFmtId="0" xfId="0" applyAlignment="1" applyBorder="1" applyFont="1">
      <alignment horizontal="center" readingOrder="1" shrinkToFit="0" vertical="center" wrapText="1"/>
    </xf>
    <xf borderId="1" fillId="0" fontId="9" numFmtId="0" xfId="0" applyAlignment="1" applyBorder="1" applyFont="1">
      <alignment horizontal="center" readingOrder="0"/>
    </xf>
    <xf borderId="1" fillId="0" fontId="5" numFmtId="2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 vertical="center"/>
    </xf>
    <xf borderId="2" fillId="0" fontId="5" numFmtId="2" xfId="0" applyAlignment="1" applyBorder="1" applyFont="1" applyNumberFormat="1">
      <alignment horizontal="center" readingOrder="0" vertical="center"/>
    </xf>
    <xf borderId="0" fillId="0" fontId="10" numFmtId="0" xfId="0" applyFont="1"/>
    <xf borderId="1" fillId="0" fontId="6" numFmtId="0" xfId="0" applyAlignment="1" applyBorder="1" applyFont="1">
      <alignment readingOrder="0"/>
    </xf>
    <xf borderId="1" fillId="2" fontId="8" numFmtId="0" xfId="0" applyAlignment="1" applyBorder="1" applyFont="1">
      <alignment horizontal="center" readingOrder="1" shrinkToFit="0" vertical="center" wrapText="1"/>
    </xf>
    <xf borderId="3" fillId="2" fontId="8" numFmtId="0" xfId="0" applyAlignment="1" applyBorder="1" applyFont="1">
      <alignment horizontal="center" readingOrder="1" shrinkToFit="0" vertical="center" wrapText="1"/>
    </xf>
    <xf borderId="1" fillId="2" fontId="11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readingOrder="0" shrinkToFit="0" wrapText="1"/>
    </xf>
    <xf borderId="4" fillId="2" fontId="11" numFmtId="0" xfId="0" applyAlignment="1" applyBorder="1" applyFont="1">
      <alignment horizontal="center" readingOrder="1" shrinkToFit="0" vertical="center" wrapText="1"/>
    </xf>
    <xf borderId="1" fillId="2" fontId="11" numFmtId="0" xfId="0" applyAlignment="1" applyBorder="1" applyFont="1">
      <alignment horizontal="center" readingOrder="1" shrinkToFit="0" vertical="center" wrapText="1"/>
    </xf>
    <xf borderId="4" fillId="2" fontId="11" numFmtId="0" xfId="0" applyAlignment="1" applyBorder="1" applyFont="1">
      <alignment horizontal="center" readingOrder="1" shrinkToFit="0" vertical="center" wrapText="1"/>
    </xf>
    <xf borderId="3" fillId="2" fontId="8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6" fillId="0" fontId="7" numFmtId="0" xfId="0" applyBorder="1" applyFont="1"/>
    <xf borderId="9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1" shrinkToFit="0" vertical="center" wrapText="1"/>
    </xf>
    <xf borderId="1" fillId="2" fontId="13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1"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51.11"/>
    <col customWidth="1" min="3" max="3" width="19.56"/>
    <col customWidth="1" min="4" max="4" width="20.56"/>
    <col customWidth="1" min="5" max="5" width="18.78"/>
    <col customWidth="1" min="6" max="6" width="15.44"/>
    <col customWidth="1" min="7" max="27" width="11.11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>
        <v>1.0</v>
      </c>
      <c r="B2" s="5" t="s">
        <v>6</v>
      </c>
      <c r="C2" s="6" t="s">
        <v>7</v>
      </c>
      <c r="D2" s="6" t="s">
        <v>8</v>
      </c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4">
        <v>2.0</v>
      </c>
      <c r="B3" s="5" t="s">
        <v>9</v>
      </c>
      <c r="C3" s="6" t="s">
        <v>7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4">
        <v>3.0</v>
      </c>
      <c r="B4" s="5" t="s">
        <v>10</v>
      </c>
      <c r="C4" s="7"/>
      <c r="D4" s="6" t="s">
        <v>8</v>
      </c>
      <c r="E4" s="7"/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4">
        <v>4.0</v>
      </c>
      <c r="B5" s="5" t="s">
        <v>11</v>
      </c>
      <c r="C5" s="6" t="s">
        <v>8</v>
      </c>
      <c r="D5" s="6" t="s">
        <v>12</v>
      </c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4">
        <v>5.0</v>
      </c>
      <c r="B6" s="9" t="s">
        <v>13</v>
      </c>
      <c r="C6" s="10"/>
      <c r="D6" s="11" t="s">
        <v>7</v>
      </c>
      <c r="E6" s="11" t="s">
        <v>8</v>
      </c>
      <c r="F6" s="11" t="s">
        <v>14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4">
        <v>6.0</v>
      </c>
      <c r="B7" s="5" t="s">
        <v>15</v>
      </c>
      <c r="C7" s="7"/>
      <c r="D7" s="6" t="s">
        <v>7</v>
      </c>
      <c r="E7" s="7"/>
      <c r="F7" s="6" t="s">
        <v>14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4">
        <v>7.0</v>
      </c>
      <c r="B8" s="9" t="s">
        <v>16</v>
      </c>
      <c r="C8" s="10"/>
      <c r="D8" s="10"/>
      <c r="E8" s="10"/>
      <c r="F8" s="11" t="s">
        <v>14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4">
        <v>8.0</v>
      </c>
      <c r="B9" s="13" t="s">
        <v>17</v>
      </c>
      <c r="C9" s="14"/>
      <c r="D9" s="15" t="s">
        <v>18</v>
      </c>
      <c r="E9" s="14"/>
      <c r="F9" s="1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4">
        <v>9.0</v>
      </c>
      <c r="B10" s="5" t="s">
        <v>19</v>
      </c>
      <c r="C10" s="7"/>
      <c r="D10" s="7"/>
      <c r="E10" s="7"/>
      <c r="F10" s="6" t="s">
        <v>14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4">
        <v>10.0</v>
      </c>
      <c r="B11" s="9" t="s">
        <v>20</v>
      </c>
      <c r="C11" s="10"/>
      <c r="D11" s="10"/>
      <c r="E11" s="11" t="s">
        <v>21</v>
      </c>
      <c r="F11" s="11" t="s">
        <v>14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16"/>
      <c r="B13" s="1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16"/>
      <c r="B14" s="17" t="s">
        <v>23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16"/>
      <c r="B15" s="17" t="s">
        <v>24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16"/>
      <c r="B16" s="17" t="s">
        <v>25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16"/>
      <c r="B17" s="17" t="s">
        <v>26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16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16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16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6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16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16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1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1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1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1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1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6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6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1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1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1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1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1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1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1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1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1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1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1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1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1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1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1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1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1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1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1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1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1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1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1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1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1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1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1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1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1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1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1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1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1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1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1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1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1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1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1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1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1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1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1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1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1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1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1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1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1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1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1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1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1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1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1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1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1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1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1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1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1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1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1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1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1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1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1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1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1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1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1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1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1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1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1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1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1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1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1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1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1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1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1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1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1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1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1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1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1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1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1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1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1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1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1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1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1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1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1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1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1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1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1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1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1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1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1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1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1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1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1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1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1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1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1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1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1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1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1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1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1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1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1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1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1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1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1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1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1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1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1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1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1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1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1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1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1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1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1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1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1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1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1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1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1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1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1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1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1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1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1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1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1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1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1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1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1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1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1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1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1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1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1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1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1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1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1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1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1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1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1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1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1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1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1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1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1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1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1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1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1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1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1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1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1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1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1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1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1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1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1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1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1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1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1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1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1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1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1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1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1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1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1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1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1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1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1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1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1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1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1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1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1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1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1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1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1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1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1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1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1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1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1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1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1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1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1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1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1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1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1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1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1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1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1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1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1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1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1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1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1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1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1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1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1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1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1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1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1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1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1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1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1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1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1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1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1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1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1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1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1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1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1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1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1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1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1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1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1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1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1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1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1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1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1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1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1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1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1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1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1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1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1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1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1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1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1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1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1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1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1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1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1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1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1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1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1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1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1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1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1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1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1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1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1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1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1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1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1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1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1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1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1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1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1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1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1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1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1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1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1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1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1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1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1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1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1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1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1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1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1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1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1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1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1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1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1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1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1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1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1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1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1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1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1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1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1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1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1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1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1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1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1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1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1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1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1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1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1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1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1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1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1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1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1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1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1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1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1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1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1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1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1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1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1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1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1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1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1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1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1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1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1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1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1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1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1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1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1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1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1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1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1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1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1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1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1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1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1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1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1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1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1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1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1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1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1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1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1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1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1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1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1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1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1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1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1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1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1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1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1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1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1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1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1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1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1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1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1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1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1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1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1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1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1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1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1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1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1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1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1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1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1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1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1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1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1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1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1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1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1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1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1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1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1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1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1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1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1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1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1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1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1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1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1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1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1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1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1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1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1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1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1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1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1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1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1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1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1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1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1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1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1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1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1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1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1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1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1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1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1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1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1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1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1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1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1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1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1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1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1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1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1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1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1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1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1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1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1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1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1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1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1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1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1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1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1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1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1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1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1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1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1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1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1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1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1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1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1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1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1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1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1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1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1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1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1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1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1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1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1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1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1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1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1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1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1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1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1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1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1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1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1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1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1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1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1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1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1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1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1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1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1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1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1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1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1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1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1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1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1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1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1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1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1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1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1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1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1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1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1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1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1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1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1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1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1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1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1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1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1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1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1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1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1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1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1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1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1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1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1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1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1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1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1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1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1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1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1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1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1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1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1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1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1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1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1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1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1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1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1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1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1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1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1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1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1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1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1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1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1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1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1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1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1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1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1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1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1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1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1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1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1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1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1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1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1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1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1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1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1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1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1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1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1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1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1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1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1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1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1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1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1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1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1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1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1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1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1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1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1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1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1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1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1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1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1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1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1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1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1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1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1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1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1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1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1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1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1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1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1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1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1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1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1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1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1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1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1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1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1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1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1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1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1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1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1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1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1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1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1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1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1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1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1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1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1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1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1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1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1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1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1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1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1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1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1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1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1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1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1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1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1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1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1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1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1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1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1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1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1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1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1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1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1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1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1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1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1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1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1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1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1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1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1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1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1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1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1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1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1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1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1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1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1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1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1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1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1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1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1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1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1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1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1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1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1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1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1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1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1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1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1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1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1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1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1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1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1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1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1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1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1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1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1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1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1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1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1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1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1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1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1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1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1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1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1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1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1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1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1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1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1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1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1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1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1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1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1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1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1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1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1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1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1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1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1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1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1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1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1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1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1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1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1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1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1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1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1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1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1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1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1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1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1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1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1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1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1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1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1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1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1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1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1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1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1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1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1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1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1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1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1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1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1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1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1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1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1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16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16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1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16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16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1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16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16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1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16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16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16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16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16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1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16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16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1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16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16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1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16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16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1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16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16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1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16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16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16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16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16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16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16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16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16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16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16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16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16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16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16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16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16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16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16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16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16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16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16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16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16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16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16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16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16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51.11"/>
    <col customWidth="1" min="3" max="3" width="5.78"/>
    <col customWidth="1" min="4" max="5" width="5.89"/>
    <col customWidth="1" min="6" max="6" width="7.89"/>
    <col customWidth="1" min="7" max="7" width="11.11"/>
    <col customWidth="1" min="8" max="8" width="8.89"/>
    <col customWidth="1" min="9" max="9" width="7.56"/>
    <col customWidth="1" min="10" max="10" width="4.67"/>
    <col customWidth="1" min="11" max="12" width="4.78"/>
    <col customWidth="1" min="13" max="13" width="6.78"/>
    <col customWidth="1" min="14" max="24" width="11.11"/>
  </cols>
  <sheetData>
    <row r="1" ht="15.75" customHeight="1">
      <c r="A1" s="19" t="s">
        <v>0</v>
      </c>
      <c r="B1" s="20" t="s">
        <v>1</v>
      </c>
      <c r="C1" s="20" t="s">
        <v>27</v>
      </c>
      <c r="D1" s="20" t="s">
        <v>28</v>
      </c>
      <c r="E1" s="20" t="s">
        <v>29</v>
      </c>
      <c r="F1" s="20" t="s">
        <v>30</v>
      </c>
    </row>
    <row r="2" ht="15.75" customHeight="1">
      <c r="A2" s="21">
        <v>1.0</v>
      </c>
      <c r="B2" s="9" t="s">
        <v>6</v>
      </c>
      <c r="C2" s="22">
        <f>AVERAGE('Medie delle risposte'!C2:C4)</f>
        <v>2.733333333</v>
      </c>
      <c r="D2" s="23" t="s">
        <v>31</v>
      </c>
      <c r="E2" s="22">
        <f>AVERAGE('Medie delle risposte'!C6:C7)</f>
        <v>3</v>
      </c>
      <c r="F2" s="23" t="s">
        <v>31</v>
      </c>
    </row>
    <row r="3" ht="15.75" customHeight="1">
      <c r="A3" s="21">
        <v>2.0</v>
      </c>
      <c r="B3" s="9" t="s">
        <v>9</v>
      </c>
      <c r="C3" s="23" t="s">
        <v>31</v>
      </c>
      <c r="D3" s="23" t="s">
        <v>31</v>
      </c>
      <c r="E3" s="22">
        <f>AVERAGE('Medie delle risposte'!C9:C11)</f>
        <v>2.8</v>
      </c>
      <c r="F3" s="23" t="s">
        <v>31</v>
      </c>
    </row>
    <row r="4" ht="15.75" customHeight="1">
      <c r="A4" s="21">
        <v>3.0</v>
      </c>
      <c r="B4" s="9" t="s">
        <v>10</v>
      </c>
      <c r="C4" s="22">
        <f>AVERAGE('Medie delle risposte'!C13:C15)</f>
        <v>2.6</v>
      </c>
      <c r="D4" s="23" t="s">
        <v>31</v>
      </c>
      <c r="E4" s="23" t="s">
        <v>31</v>
      </c>
      <c r="F4" s="23" t="s">
        <v>31</v>
      </c>
    </row>
    <row r="5" ht="15.75" customHeight="1">
      <c r="A5" s="21">
        <v>4.0</v>
      </c>
      <c r="B5" s="9" t="s">
        <v>11</v>
      </c>
      <c r="C5" s="22">
        <f>AVERAGE('Medie delle risposte'!C17:C18)</f>
        <v>2.7</v>
      </c>
      <c r="D5" s="22">
        <f>AVERAGE('Medie delle risposte'!C20:C21)</f>
        <v>3.4</v>
      </c>
      <c r="E5" s="22">
        <f>AVERAGE('Medie delle risposte'!C23:C24)</f>
        <v>3.1</v>
      </c>
      <c r="F5" s="23" t="s">
        <v>31</v>
      </c>
    </row>
    <row r="6" ht="15.75" customHeight="1">
      <c r="A6" s="21">
        <v>5.0</v>
      </c>
      <c r="B6" s="9" t="s">
        <v>13</v>
      </c>
      <c r="C6" s="22">
        <f>AVERAGE('Medie delle risposte'!C26:C27)</f>
        <v>2.5</v>
      </c>
      <c r="D6" s="23" t="s">
        <v>31</v>
      </c>
      <c r="E6" s="22">
        <f>AVERAGE('Medie delle risposte'!C29:C30)</f>
        <v>1.7</v>
      </c>
      <c r="F6" s="22">
        <f>AVERAGE('Medie delle risposte'!C32)</f>
        <v>1.8</v>
      </c>
    </row>
    <row r="7" ht="15.75" customHeight="1">
      <c r="A7" s="21">
        <v>6.0</v>
      </c>
      <c r="B7" s="9" t="s">
        <v>15</v>
      </c>
      <c r="C7" s="23" t="s">
        <v>31</v>
      </c>
      <c r="D7" s="23" t="s">
        <v>31</v>
      </c>
      <c r="E7" s="22">
        <f>AVERAGE('Medie delle risposte'!C34:C35)</f>
        <v>3.2</v>
      </c>
      <c r="F7" s="22">
        <f>AVERAGE('Medie delle risposte'!C37:C38)</f>
        <v>3</v>
      </c>
    </row>
    <row r="8" ht="15.75" customHeight="1">
      <c r="A8" s="21">
        <v>7.0</v>
      </c>
      <c r="B8" s="9" t="s">
        <v>16</v>
      </c>
      <c r="C8" s="23" t="s">
        <v>31</v>
      </c>
      <c r="D8" s="23" t="s">
        <v>31</v>
      </c>
      <c r="E8" s="23" t="s">
        <v>31</v>
      </c>
      <c r="F8" s="22">
        <f>AVERAGE('Medie delle risposte'!C40:C41)</f>
        <v>2.7</v>
      </c>
    </row>
    <row r="9" ht="15.75" customHeight="1">
      <c r="A9" s="24">
        <v>8.0</v>
      </c>
      <c r="B9" s="25" t="s">
        <v>17</v>
      </c>
      <c r="C9" s="26" t="s">
        <v>31</v>
      </c>
      <c r="D9" s="26" t="s">
        <v>31</v>
      </c>
      <c r="E9" s="27">
        <f>AVERAGE('Medie delle risposte'!C43:C44)</f>
        <v>3.7</v>
      </c>
      <c r="F9" s="27">
        <f>AVERAGE('Medie delle risposte'!C46)</f>
        <v>2.2</v>
      </c>
    </row>
    <row r="10" ht="15.75" customHeight="1">
      <c r="A10" s="21">
        <v>9.0</v>
      </c>
      <c r="B10" s="9" t="s">
        <v>19</v>
      </c>
      <c r="C10" s="23" t="s">
        <v>31</v>
      </c>
      <c r="D10" s="23" t="s">
        <v>31</v>
      </c>
      <c r="E10" s="23" t="s">
        <v>31</v>
      </c>
      <c r="F10" s="22">
        <f>AVERAGE('Medie delle risposte'!C48:C49)</f>
        <v>2.8</v>
      </c>
    </row>
    <row r="11" ht="15.75" customHeight="1">
      <c r="A11" s="21">
        <v>10.0</v>
      </c>
      <c r="B11" s="9" t="s">
        <v>20</v>
      </c>
      <c r="C11" s="23" t="s">
        <v>31</v>
      </c>
      <c r="D11" s="22">
        <f>AVERAGE('Medie delle risposte'!C51)</f>
        <v>3.2</v>
      </c>
      <c r="E11" s="23" t="s">
        <v>31</v>
      </c>
      <c r="F11" s="22">
        <f>AVERAGE('Medie delle risposte'!C53:C54)</f>
        <v>3.2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15.75" customHeight="1"/>
    <row r="13" ht="15.75" customHeight="1">
      <c r="B13" s="1" t="s">
        <v>22</v>
      </c>
    </row>
    <row r="14" ht="15.75" customHeight="1">
      <c r="B14" s="29" t="s">
        <v>32</v>
      </c>
    </row>
    <row r="15" ht="15.75" customHeight="1">
      <c r="B15" s="29" t="s">
        <v>33</v>
      </c>
    </row>
    <row r="16" ht="15.75" customHeight="1">
      <c r="B16" s="29" t="s">
        <v>34</v>
      </c>
    </row>
    <row r="17" ht="15.75" customHeight="1">
      <c r="B17" s="29" t="s">
        <v>35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conditionalFormatting sqref="C2:F11">
    <cfRule type="cellIs" dxfId="0" priority="1" operator="lessThan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11"/>
    <col customWidth="1" min="4" max="20" width="11.11"/>
  </cols>
  <sheetData>
    <row r="1" ht="15.75" customHeight="1">
      <c r="A1" s="30"/>
      <c r="B1" s="31" t="s">
        <v>36</v>
      </c>
      <c r="C1" s="30" t="s">
        <v>37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ht="15.75" customHeight="1">
      <c r="A2" s="32" t="s">
        <v>38</v>
      </c>
      <c r="B2" s="33" t="s">
        <v>39</v>
      </c>
      <c r="C2" s="34">
        <f>AVERAGE('Questionario #1'!H2,'Questionario #2'!H2,'Questionario #3'!H2,'Questionario #4'!H2,'Questionario #5'!H2)</f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15.75" customHeight="1">
      <c r="A3" s="32" t="s">
        <v>40</v>
      </c>
      <c r="B3" s="35" t="s">
        <v>41</v>
      </c>
      <c r="C3" s="34">
        <f>AVERAGE('Questionario #1'!H3,'Questionario #2'!H3,'Questionario #3'!H3,'Questionario #4'!H3,'Questionario #5'!H3)</f>
        <v>2.4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15.75" customHeight="1">
      <c r="A4" s="36" t="s">
        <v>42</v>
      </c>
      <c r="B4" s="35" t="s">
        <v>43</v>
      </c>
      <c r="C4" s="34">
        <f>AVERAGE('Questionario #1'!H4,'Questionario #2'!H4,'Questionario #3'!H4,'Questionario #4'!H4,'Questionario #5'!H4)</f>
        <v>2.8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15.75" customHeight="1">
      <c r="A5" s="30"/>
      <c r="B5" s="20" t="s">
        <v>44</v>
      </c>
      <c r="C5" s="30" t="s">
        <v>37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15.75" customHeight="1">
      <c r="A6" s="32" t="s">
        <v>45</v>
      </c>
      <c r="B6" s="33" t="s">
        <v>46</v>
      </c>
      <c r="C6" s="34">
        <f>AVERAGE('Questionario #1'!H6,'Questionario #2'!H6,'Questionario #3'!H6,'Questionario #4'!H6,'Questionario #5'!H6)</f>
        <v>2.6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15.75" customHeight="1">
      <c r="A7" s="32" t="s">
        <v>47</v>
      </c>
      <c r="B7" s="33" t="s">
        <v>48</v>
      </c>
      <c r="C7" s="34">
        <f>AVERAGE('Questionario #1'!H7,'Questionario #2'!H7,'Questionario #3'!H7,'Questionario #4'!H7,'Questionario #5'!H7)</f>
        <v>3.4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5.75" customHeight="1">
      <c r="A8" s="31"/>
      <c r="B8" s="31" t="s">
        <v>44</v>
      </c>
      <c r="C8" s="31" t="s">
        <v>37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15.75" customHeight="1">
      <c r="A9" s="37" t="s">
        <v>49</v>
      </c>
      <c r="B9" s="33" t="s">
        <v>50</v>
      </c>
      <c r="C9" s="34">
        <f>AVERAGE('Questionario #1'!H9,'Questionario #2'!H9,'Questionario #3'!H9,'Questionario #4'!H9,'Questionario #5'!H9)</f>
        <v>2.8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5.75" customHeight="1">
      <c r="A10" s="37" t="s">
        <v>51</v>
      </c>
      <c r="B10" s="33" t="s">
        <v>52</v>
      </c>
      <c r="C10" s="34">
        <f>AVERAGE('Questionario #1'!H10,'Questionario #2'!H10,'Questionario #3'!H10,'Questionario #4'!H10,'Questionario #5'!H10)</f>
        <v>2.4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5.75" customHeight="1">
      <c r="A11" s="38" t="s">
        <v>53</v>
      </c>
      <c r="B11" s="35" t="s">
        <v>54</v>
      </c>
      <c r="C11" s="34">
        <f>AVERAGE('Questionario #1'!H11,'Questionario #2'!H11,'Questionario #3'!H11,'Questionario #4'!H11,'Questionario #5'!H11)</f>
        <v>3.2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5.75" customHeight="1">
      <c r="A12" s="31"/>
      <c r="B12" s="31" t="s">
        <v>36</v>
      </c>
      <c r="C12" s="31" t="s">
        <v>37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15.75" customHeight="1">
      <c r="A13" s="37" t="s">
        <v>55</v>
      </c>
      <c r="B13" s="33" t="s">
        <v>56</v>
      </c>
      <c r="C13" s="34">
        <f>AVERAGE('Questionario #1'!H13,'Questionario #2'!H13,'Questionario #3'!H13,'Questionario #4'!H13,'Questionario #5'!H13)</f>
        <v>2.4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5.75" customHeight="1">
      <c r="A14" s="37" t="s">
        <v>57</v>
      </c>
      <c r="B14" s="33" t="s">
        <v>58</v>
      </c>
      <c r="C14" s="34">
        <f>AVERAGE('Questionario #1'!H14,'Questionario #2'!H14,'Questionario #3'!H14,'Questionario #4'!H14,'Questionario #5'!H14)</f>
        <v>3.2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15.75" customHeight="1">
      <c r="A15" s="37" t="s">
        <v>59</v>
      </c>
      <c r="B15" s="33" t="s">
        <v>60</v>
      </c>
      <c r="C15" s="34">
        <f>AVERAGE('Questionario #1'!H15,'Questionario #2'!H15,'Questionario #3'!H15,'Questionario #4'!H15,'Questionario #5'!H15)</f>
        <v>2.2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5.75" customHeight="1">
      <c r="A16" s="31"/>
      <c r="B16" s="31" t="s">
        <v>36</v>
      </c>
      <c r="C16" s="31" t="s">
        <v>37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t="15.75" customHeight="1">
      <c r="A17" s="37" t="s">
        <v>61</v>
      </c>
      <c r="B17" s="33" t="s">
        <v>62</v>
      </c>
      <c r="C17" s="34">
        <f>AVERAGE('Questionario #1'!H17,'Questionario #2'!H17,'Questionario #3'!H17,'Questionario #4'!H17,'Questionario #5'!H17)</f>
        <v>2.4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15.75" customHeight="1">
      <c r="A18" s="37" t="s">
        <v>63</v>
      </c>
      <c r="B18" s="33" t="s">
        <v>64</v>
      </c>
      <c r="C18" s="34">
        <f>AVERAGE('Questionario #1'!H18,'Questionario #2'!H18,'Questionario #3'!H18,'Questionario #4'!H18,'Questionario #5'!H18)</f>
        <v>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15.75" customHeight="1">
      <c r="A19" s="32"/>
      <c r="B19" s="30" t="s">
        <v>65</v>
      </c>
      <c r="C19" s="30" t="s">
        <v>37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ht="15.75" customHeight="1">
      <c r="A20" s="37" t="s">
        <v>66</v>
      </c>
      <c r="B20" s="33" t="s">
        <v>67</v>
      </c>
      <c r="C20" s="34">
        <f>AVERAGE('Questionario #1'!H20,'Questionario #2'!H20,'Questionario #3'!H20,'Questionario #4'!H20,'Questionario #5'!H20)</f>
        <v>3.8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ht="15.75" customHeight="1">
      <c r="A21" s="37" t="s">
        <v>68</v>
      </c>
      <c r="B21" s="33" t="s">
        <v>69</v>
      </c>
      <c r="C21" s="34">
        <f>AVERAGE('Questionario #1'!H21,'Questionario #2'!H21,'Questionario #3'!H21,'Questionario #4'!H21,'Questionario #5'!H21)</f>
        <v>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ht="15.75" customHeight="1">
      <c r="A22" s="32"/>
      <c r="B22" s="30" t="s">
        <v>44</v>
      </c>
      <c r="C22" s="30" t="s">
        <v>37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ht="15.75" customHeight="1">
      <c r="A23" s="37" t="s">
        <v>70</v>
      </c>
      <c r="B23" s="33" t="s">
        <v>71</v>
      </c>
      <c r="C23" s="34">
        <f>AVERAGE('Questionario #1'!H23,'Questionario #2'!H23,'Questionario #3'!H23,'Questionario #4'!H23,'Questionario #5'!H23)</f>
        <v>3.2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ht="15.75" customHeight="1">
      <c r="A24" s="37" t="s">
        <v>72</v>
      </c>
      <c r="B24" s="33" t="s">
        <v>73</v>
      </c>
      <c r="C24" s="34">
        <f>AVERAGE('Questionario #1'!H24,'Questionario #2'!H24,'Questionario #3'!H24,'Questionario #4'!H24,'Questionario #5'!H24)</f>
        <v>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31"/>
      <c r="B25" s="31" t="s">
        <v>36</v>
      </c>
      <c r="C25" s="31" t="s">
        <v>37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ht="15.75" customHeight="1">
      <c r="A26" s="37" t="s">
        <v>74</v>
      </c>
      <c r="B26" s="33" t="s">
        <v>75</v>
      </c>
      <c r="C26" s="34">
        <f>AVERAGE('Questionario #1'!H26,'Questionario #2'!H26,'Questionario #3'!H26,'Questionario #4'!H26,'Questionario #5'!H26)</f>
        <v>2.6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ht="15.75" customHeight="1">
      <c r="A27" s="37" t="s">
        <v>76</v>
      </c>
      <c r="B27" s="33" t="s">
        <v>77</v>
      </c>
      <c r="C27" s="34">
        <f>AVERAGE('Questionario #1'!H27,'Questionario #2'!H27,'Questionario #3'!H27,'Questionario #4'!H27,'Questionario #5'!H27)</f>
        <v>2.4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ht="15.75" customHeight="1">
      <c r="A28" s="32"/>
      <c r="B28" s="30" t="s">
        <v>44</v>
      </c>
      <c r="C28" s="30" t="s">
        <v>37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ht="15.75" customHeight="1">
      <c r="A29" s="37" t="s">
        <v>78</v>
      </c>
      <c r="B29" s="33" t="s">
        <v>79</v>
      </c>
      <c r="C29" s="34">
        <f>AVERAGE('Questionario #1'!H29,'Questionario #2'!H29,'Questionario #3'!H29,'Questionario #4'!H29,'Questionario #5'!H29)</f>
        <v>1.6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15.75" customHeight="1">
      <c r="A30" s="37" t="s">
        <v>80</v>
      </c>
      <c r="B30" s="33" t="s">
        <v>81</v>
      </c>
      <c r="C30" s="34">
        <f>AVERAGE('Questionario #1'!H30,'Questionario #2'!H30,'Questionario #3'!H30,'Questionario #4'!H30,'Questionario #5'!H30)</f>
        <v>1.8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15.75" customHeight="1">
      <c r="A31" s="32"/>
      <c r="B31" s="30" t="s">
        <v>82</v>
      </c>
      <c r="C31" s="30" t="s">
        <v>37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ht="15.75" customHeight="1">
      <c r="A32" s="37" t="s">
        <v>83</v>
      </c>
      <c r="B32" s="33" t="s">
        <v>84</v>
      </c>
      <c r="C32" s="34">
        <f>AVERAGE('Questionario #1'!H32,'Questionario #2'!H32,'Questionario #3'!H32,'Questionario #4'!H32,'Questionario #5'!H32)</f>
        <v>1.8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ht="15.75" customHeight="1">
      <c r="A33" s="31"/>
      <c r="B33" s="31" t="s">
        <v>44</v>
      </c>
      <c r="C33" s="31" t="s">
        <v>37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15.75" customHeight="1">
      <c r="A34" s="37" t="s">
        <v>85</v>
      </c>
      <c r="B34" s="33" t="s">
        <v>86</v>
      </c>
      <c r="C34" s="34">
        <f>AVERAGE('Questionario #1'!H34,'Questionario #2'!H34,'Questionario #3'!H34,'Questionario #4'!H34,'Questionario #5'!H34)</f>
        <v>3.2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ht="15.75" customHeight="1">
      <c r="A35" s="37" t="s">
        <v>87</v>
      </c>
      <c r="B35" s="33" t="s">
        <v>88</v>
      </c>
      <c r="C35" s="34">
        <f>AVERAGE('Questionario #1'!H35,'Questionario #2'!H35,'Questionario #3'!H35,'Questionario #4'!H35,'Questionario #5'!H35)</f>
        <v>3.2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15.75" customHeight="1">
      <c r="A36" s="32"/>
      <c r="B36" s="20" t="s">
        <v>82</v>
      </c>
      <c r="C36" s="30" t="s">
        <v>37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5.75" customHeight="1">
      <c r="A37" s="37" t="s">
        <v>89</v>
      </c>
      <c r="B37" s="33" t="s">
        <v>90</v>
      </c>
      <c r="C37" s="34">
        <f>AVERAGE('Questionario #1'!H37,'Questionario #2'!H37,'Questionario #3'!H37,'Questionario #4'!H37,'Questionario #5'!H37)</f>
        <v>3.2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ht="15.75" customHeight="1">
      <c r="A38" s="38" t="s">
        <v>91</v>
      </c>
      <c r="B38" s="35" t="s">
        <v>92</v>
      </c>
      <c r="C38" s="34">
        <f>AVERAGE('Questionario #1'!H38,'Questionario #2'!H38,'Questionario #3'!H38,'Questionario #4'!H38,'Questionario #5'!H38)</f>
        <v>2.8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ht="15.75" customHeight="1">
      <c r="A39" s="31"/>
      <c r="B39" s="39" t="s">
        <v>82</v>
      </c>
      <c r="C39" s="31" t="s">
        <v>37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ht="15.75" customHeight="1">
      <c r="A40" s="37" t="s">
        <v>93</v>
      </c>
      <c r="B40" s="33" t="s">
        <v>94</v>
      </c>
      <c r="C40" s="34">
        <f>AVERAGE('Questionario #1'!H40,'Questionario #2'!H40,'Questionario #3'!H40,'Questionario #4'!H40,'Questionario #5'!H40)</f>
        <v>2.6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ht="15.75" customHeight="1">
      <c r="A41" s="38" t="s">
        <v>95</v>
      </c>
      <c r="B41" s="35" t="s">
        <v>96</v>
      </c>
      <c r="C41" s="34">
        <f>AVERAGE('Questionario #1'!H41,'Questionario #2'!H41,'Questionario #3'!H41,'Questionario #4'!H41,'Questionario #5'!H41)</f>
        <v>2.8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ht="15.75" customHeight="1">
      <c r="A42" s="31"/>
      <c r="B42" s="31" t="s">
        <v>44</v>
      </c>
      <c r="C42" s="31" t="s">
        <v>37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ht="15.75" customHeight="1">
      <c r="A43" s="37" t="s">
        <v>97</v>
      </c>
      <c r="B43" s="33" t="s">
        <v>98</v>
      </c>
      <c r="C43" s="34">
        <f>AVERAGE('Questionario #1'!H43,'Questionario #2'!H43,'Questionario #3'!H43,'Questionario #4'!H43,'Questionario #5'!H43)</f>
        <v>4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5.75" customHeight="1">
      <c r="A44" s="37" t="s">
        <v>99</v>
      </c>
      <c r="B44" s="33" t="s">
        <v>100</v>
      </c>
      <c r="C44" s="34">
        <f>AVERAGE('Questionario #1'!H44,'Questionario #2'!H44,'Questionario #3'!H44,'Questionario #4'!H44,'Questionario #5'!H44)</f>
        <v>3.4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15.75" customHeight="1">
      <c r="A45" s="32"/>
      <c r="B45" s="30" t="s">
        <v>82</v>
      </c>
      <c r="C45" s="30" t="s">
        <v>37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ht="15.75" customHeight="1">
      <c r="A46" s="37" t="s">
        <v>101</v>
      </c>
      <c r="B46" s="35" t="s">
        <v>102</v>
      </c>
      <c r="C46" s="34">
        <f>AVERAGE('Questionario #1'!H46,'Questionario #2'!H46,'Questionario #3'!H46,'Questionario #4'!H46,'Questionario #5'!H46)</f>
        <v>2.2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ht="15.75" customHeight="1">
      <c r="A47" s="31"/>
      <c r="B47" s="31" t="s">
        <v>82</v>
      </c>
      <c r="C47" s="31" t="s">
        <v>37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ht="15.75" customHeight="1">
      <c r="A48" s="37" t="s">
        <v>103</v>
      </c>
      <c r="B48" s="33" t="s">
        <v>104</v>
      </c>
      <c r="C48" s="34">
        <f>AVERAGE('Questionario #1'!H48,'Questionario #2'!H48,'Questionario #3'!H48,'Questionario #4'!H48,'Questionario #5'!H48)</f>
        <v>3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ht="15.75" customHeight="1">
      <c r="A49" s="38" t="s">
        <v>105</v>
      </c>
      <c r="B49" s="35" t="s">
        <v>106</v>
      </c>
      <c r="C49" s="34">
        <f>AVERAGE('Questionario #1'!H49,'Questionario #2'!H49,'Questionario #3'!H49,'Questionario #4'!H49,'Questionario #5'!H49)</f>
        <v>2.6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ht="15.75" customHeight="1">
      <c r="A50" s="31"/>
      <c r="B50" s="31" t="s">
        <v>65</v>
      </c>
      <c r="C50" s="31" t="s">
        <v>37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5.75" customHeight="1">
      <c r="A51" s="37" t="s">
        <v>107</v>
      </c>
      <c r="B51" s="33" t="s">
        <v>108</v>
      </c>
      <c r="C51" s="34">
        <f>AVERAGE('Questionario #1'!H51,'Questionario #2'!H51,'Questionario #3'!H51,'Questionario #4'!H51,'Questionario #5'!H51)</f>
        <v>3.2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ht="15.75" customHeight="1">
      <c r="A52" s="32"/>
      <c r="B52" s="30" t="s">
        <v>82</v>
      </c>
      <c r="C52" s="30" t="s">
        <v>37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ht="15.75" customHeight="1">
      <c r="A53" s="37" t="s">
        <v>109</v>
      </c>
      <c r="B53" s="33" t="s">
        <v>110</v>
      </c>
      <c r="C53" s="34">
        <f>AVERAGE('Questionario #1'!H53,'Questionario #2'!H53,'Questionario #3'!H53,'Questionario #4'!H53,'Questionario #5'!H53)</f>
        <v>3.6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15.75" customHeight="1">
      <c r="A54" s="37" t="s">
        <v>111</v>
      </c>
      <c r="B54" s="33" t="s">
        <v>112</v>
      </c>
      <c r="C54" s="34">
        <f>AVERAGE('Questionario #1'!H54,'Questionario #2'!H54,'Questionario #3'!H54,'Questionario #4'!H54,'Questionario #5'!H54)</f>
        <v>2.8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 ht="15.75" customHeight="1">
      <c r="A1" s="30"/>
      <c r="B1" s="31" t="s">
        <v>36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32" t="s">
        <v>38</v>
      </c>
      <c r="B2" s="33" t="s">
        <v>39</v>
      </c>
      <c r="C2" s="34"/>
      <c r="D2" s="34"/>
      <c r="E2" s="34"/>
      <c r="F2" s="40"/>
      <c r="G2" s="40"/>
      <c r="H2" s="34">
        <f t="shared" ref="H2:H4" si="1">IF(C2="X",1)+IF(D2="X",2)+IF(E2="X",3)+IF(F2="X",4)+IF(G2="X",5)</f>
        <v>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32" t="s">
        <v>40</v>
      </c>
      <c r="B3" s="35" t="s">
        <v>41</v>
      </c>
      <c r="C3" s="34"/>
      <c r="D3" s="34"/>
      <c r="E3" s="34"/>
      <c r="F3" s="34"/>
      <c r="G3" s="34"/>
      <c r="H3" s="34">
        <f t="shared" si="1"/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36" t="s">
        <v>42</v>
      </c>
      <c r="B4" s="35" t="s">
        <v>43</v>
      </c>
      <c r="C4" s="41"/>
      <c r="D4" s="41"/>
      <c r="E4" s="41"/>
      <c r="F4" s="41"/>
      <c r="G4" s="41"/>
      <c r="H4" s="41">
        <f t="shared" si="1"/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30"/>
      <c r="B5" s="20" t="s">
        <v>44</v>
      </c>
      <c r="C5" s="30"/>
      <c r="D5" s="30"/>
      <c r="E5" s="30"/>
      <c r="F5" s="30"/>
      <c r="G5" s="30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32" t="s">
        <v>45</v>
      </c>
      <c r="B6" s="33" t="s">
        <v>46</v>
      </c>
      <c r="C6" s="34"/>
      <c r="D6" s="34"/>
      <c r="E6" s="34"/>
      <c r="F6" s="34"/>
      <c r="G6" s="34"/>
      <c r="H6" s="34">
        <f t="shared" ref="H6:H7" si="2">IF(C6="X",1)+IF(D6="X",2)+IF(E6="X",3)+IF(F6="X",4)+IF(G6="X",5)</f>
        <v>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32" t="s">
        <v>47</v>
      </c>
      <c r="B7" s="33" t="s">
        <v>48</v>
      </c>
      <c r="C7" s="34"/>
      <c r="D7" s="34"/>
      <c r="E7" s="34"/>
      <c r="F7" s="34"/>
      <c r="G7" s="34"/>
      <c r="H7" s="34">
        <f t="shared" si="2"/>
        <v>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31"/>
      <c r="B8" s="31" t="s">
        <v>44</v>
      </c>
      <c r="C8" s="31" t="s">
        <v>113</v>
      </c>
      <c r="D8" s="31" t="s">
        <v>114</v>
      </c>
      <c r="E8" s="31" t="s">
        <v>115</v>
      </c>
      <c r="F8" s="31" t="s">
        <v>116</v>
      </c>
      <c r="G8" s="31" t="s">
        <v>117</v>
      </c>
      <c r="H8" s="31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37" t="s">
        <v>49</v>
      </c>
      <c r="B9" s="33" t="s">
        <v>50</v>
      </c>
      <c r="C9" s="34"/>
      <c r="D9" s="34"/>
      <c r="E9" s="34"/>
      <c r="F9" s="34"/>
      <c r="G9" s="34"/>
      <c r="H9" s="34">
        <f t="shared" ref="H9:H11" si="3">IF(C9="X",1)+IF(D9="X",2)+IF(E9="X",3)+IF(F9="X",4)+IF(G9="X",5)</f>
        <v>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37" t="s">
        <v>51</v>
      </c>
      <c r="B10" s="33" t="s">
        <v>52</v>
      </c>
      <c r="C10" s="34"/>
      <c r="D10" s="34"/>
      <c r="E10" s="34"/>
      <c r="F10" s="34"/>
      <c r="G10" s="34"/>
      <c r="H10" s="34">
        <f t="shared" si="3"/>
        <v>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38" t="s">
        <v>53</v>
      </c>
      <c r="B11" s="35" t="s">
        <v>54</v>
      </c>
      <c r="C11" s="41"/>
      <c r="D11" s="41"/>
      <c r="E11" s="41"/>
      <c r="F11" s="41"/>
      <c r="G11" s="41"/>
      <c r="H11" s="41">
        <f t="shared" si="3"/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31"/>
      <c r="B12" s="31" t="s">
        <v>36</v>
      </c>
      <c r="C12" s="31" t="s">
        <v>113</v>
      </c>
      <c r="D12" s="31" t="s">
        <v>114</v>
      </c>
      <c r="E12" s="31" t="s">
        <v>115</v>
      </c>
      <c r="F12" s="31" t="s">
        <v>116</v>
      </c>
      <c r="G12" s="31" t="s">
        <v>117</v>
      </c>
      <c r="H12" s="3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37" t="s">
        <v>55</v>
      </c>
      <c r="B13" s="33" t="s">
        <v>56</v>
      </c>
      <c r="C13" s="34"/>
      <c r="D13" s="34"/>
      <c r="E13" s="34"/>
      <c r="F13" s="40"/>
      <c r="G13" s="40"/>
      <c r="H13" s="34">
        <f t="shared" ref="H13:H15" si="4">IF(C13="X",1)+IF(D13="X",2)+IF(E13="X",3)+IF(F13="X",4)+IF(G13="X",5)</f>
        <v>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37" t="s">
        <v>57</v>
      </c>
      <c r="B14" s="33" t="s">
        <v>58</v>
      </c>
      <c r="C14" s="34"/>
      <c r="D14" s="34"/>
      <c r="E14" s="34"/>
      <c r="F14" s="34"/>
      <c r="G14" s="34"/>
      <c r="H14" s="34">
        <f t="shared" si="4"/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37" t="s">
        <v>59</v>
      </c>
      <c r="B15" s="33" t="s">
        <v>60</v>
      </c>
      <c r="C15" s="34"/>
      <c r="D15" s="34"/>
      <c r="E15" s="34"/>
      <c r="F15" s="34"/>
      <c r="G15" s="34"/>
      <c r="H15" s="34">
        <f t="shared" si="4"/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1"/>
      <c r="B16" s="31" t="s">
        <v>36</v>
      </c>
      <c r="C16" s="31" t="s">
        <v>113</v>
      </c>
      <c r="D16" s="31" t="s">
        <v>114</v>
      </c>
      <c r="E16" s="31" t="s">
        <v>115</v>
      </c>
      <c r="F16" s="31" t="s">
        <v>116</v>
      </c>
      <c r="G16" s="31" t="s">
        <v>117</v>
      </c>
      <c r="H16" s="31" t="s">
        <v>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37" t="s">
        <v>61</v>
      </c>
      <c r="B17" s="33" t="s">
        <v>62</v>
      </c>
      <c r="C17" s="34"/>
      <c r="D17" s="34"/>
      <c r="E17" s="34"/>
      <c r="F17" s="40"/>
      <c r="G17" s="40"/>
      <c r="H17" s="34">
        <f t="shared" ref="H17:H18" si="5">IF(C17="X",1)+IF(D17="X",2)+IF(E17="X",3)+IF(F17="X",4)+IF(G17="X",5)</f>
        <v>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7" t="s">
        <v>63</v>
      </c>
      <c r="B18" s="33" t="s">
        <v>64</v>
      </c>
      <c r="C18" s="34"/>
      <c r="D18" s="34"/>
      <c r="E18" s="34"/>
      <c r="F18" s="34"/>
      <c r="G18" s="34"/>
      <c r="H18" s="34">
        <f t="shared" si="5"/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32"/>
      <c r="B19" s="30" t="s">
        <v>65</v>
      </c>
      <c r="C19" s="32"/>
      <c r="D19" s="32"/>
      <c r="E19" s="32"/>
      <c r="F19" s="32"/>
      <c r="G19" s="32"/>
      <c r="H19" s="3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37" t="s">
        <v>66</v>
      </c>
      <c r="B20" s="33" t="s">
        <v>67</v>
      </c>
      <c r="C20" s="34"/>
      <c r="D20" s="34"/>
      <c r="E20" s="34"/>
      <c r="F20" s="34"/>
      <c r="G20" s="34"/>
      <c r="H20" s="34">
        <f t="shared" ref="H20:H21" si="6">IF(C20="X",1)+IF(D20="X",2)+IF(E20="X",3)+IF(F20="X",4)+IF(G20="X",5)</f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7" t="s">
        <v>68</v>
      </c>
      <c r="B21" s="33" t="s">
        <v>69</v>
      </c>
      <c r="C21" s="34"/>
      <c r="D21" s="34"/>
      <c r="E21" s="34"/>
      <c r="F21" s="34"/>
      <c r="G21" s="34"/>
      <c r="H21" s="34">
        <f t="shared" si="6"/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2"/>
      <c r="B22" s="30" t="s">
        <v>44</v>
      </c>
      <c r="C22" s="32"/>
      <c r="D22" s="32"/>
      <c r="E22" s="32"/>
      <c r="F22" s="32"/>
      <c r="G22" s="32"/>
      <c r="H22" s="3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7" t="s">
        <v>70</v>
      </c>
      <c r="B23" s="33" t="s">
        <v>71</v>
      </c>
      <c r="C23" s="34"/>
      <c r="D23" s="34"/>
      <c r="E23" s="34"/>
      <c r="F23" s="34"/>
      <c r="G23" s="34"/>
      <c r="H23" s="34">
        <f t="shared" ref="H23:H24" si="7">IF(C23="X",1)+IF(D23="X",2)+IF(E23="X",3)+IF(F23="X",4)+IF(G23="X",5)</f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7" t="s">
        <v>72</v>
      </c>
      <c r="B24" s="33" t="s">
        <v>73</v>
      </c>
      <c r="C24" s="34"/>
      <c r="D24" s="34"/>
      <c r="E24" s="34"/>
      <c r="F24" s="34"/>
      <c r="G24" s="34"/>
      <c r="H24" s="34">
        <f t="shared" si="7"/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1"/>
      <c r="B25" s="31" t="s">
        <v>36</v>
      </c>
      <c r="C25" s="31" t="s">
        <v>113</v>
      </c>
      <c r="D25" s="31" t="s">
        <v>114</v>
      </c>
      <c r="E25" s="31" t="s">
        <v>115</v>
      </c>
      <c r="F25" s="31" t="s">
        <v>116</v>
      </c>
      <c r="G25" s="31" t="s">
        <v>117</v>
      </c>
      <c r="H25" s="31" t="s">
        <v>37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7" t="s">
        <v>74</v>
      </c>
      <c r="B26" s="33" t="s">
        <v>75</v>
      </c>
      <c r="C26" s="34"/>
      <c r="D26" s="34"/>
      <c r="E26" s="34"/>
      <c r="F26" s="40"/>
      <c r="G26" s="40"/>
      <c r="H26" s="34">
        <f t="shared" ref="H26:H27" si="8">IF(C26="X",1)+IF(D26="X",2)+IF(E26="X",3)+IF(F26="X",4)+IF(G26="X",5)</f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7" t="s">
        <v>76</v>
      </c>
      <c r="B27" s="33" t="s">
        <v>77</v>
      </c>
      <c r="C27" s="34"/>
      <c r="D27" s="34"/>
      <c r="E27" s="34"/>
      <c r="F27" s="34"/>
      <c r="G27" s="34"/>
      <c r="H27" s="34">
        <f t="shared" si="8"/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2"/>
      <c r="B28" s="30" t="s">
        <v>44</v>
      </c>
      <c r="C28" s="32"/>
      <c r="D28" s="32"/>
      <c r="E28" s="32"/>
      <c r="F28" s="32"/>
      <c r="G28" s="32"/>
      <c r="H28" s="3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7" t="s">
        <v>78</v>
      </c>
      <c r="B29" s="33" t="s">
        <v>79</v>
      </c>
      <c r="C29" s="34"/>
      <c r="D29" s="34"/>
      <c r="E29" s="34"/>
      <c r="F29" s="34"/>
      <c r="G29" s="34"/>
      <c r="H29" s="34">
        <f t="shared" ref="H29:H30" si="9">IF(C29="X",1)+IF(D29="X",2)+IF(E29="X",3)+IF(F29="X",4)+IF(G29="X",5)</f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7" t="s">
        <v>80</v>
      </c>
      <c r="B30" s="33" t="s">
        <v>81</v>
      </c>
      <c r="C30" s="34"/>
      <c r="D30" s="34"/>
      <c r="E30" s="34"/>
      <c r="F30" s="34"/>
      <c r="G30" s="34"/>
      <c r="H30" s="34">
        <f t="shared" si="9"/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2"/>
      <c r="B31" s="30" t="s">
        <v>82</v>
      </c>
      <c r="C31" s="32"/>
      <c r="D31" s="32"/>
      <c r="E31" s="32"/>
      <c r="F31" s="32"/>
      <c r="G31" s="32"/>
      <c r="H31" s="3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7" t="s">
        <v>83</v>
      </c>
      <c r="B32" s="33" t="s">
        <v>84</v>
      </c>
      <c r="C32" s="34"/>
      <c r="D32" s="34"/>
      <c r="E32" s="34"/>
      <c r="F32" s="34"/>
      <c r="G32" s="34"/>
      <c r="H32" s="34">
        <f>IF(C32="X",1)+IF(D32="X",2)+IF(E32="X",3)+IF(F32="X",4)+IF(G32="X",5)</f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1"/>
      <c r="B33" s="31" t="s">
        <v>44</v>
      </c>
      <c r="C33" s="31" t="s">
        <v>113</v>
      </c>
      <c r="D33" s="31" t="s">
        <v>114</v>
      </c>
      <c r="E33" s="31" t="s">
        <v>115</v>
      </c>
      <c r="F33" s="31" t="s">
        <v>116</v>
      </c>
      <c r="G33" s="31" t="s">
        <v>117</v>
      </c>
      <c r="H33" s="31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7" t="s">
        <v>85</v>
      </c>
      <c r="B34" s="33" t="s">
        <v>86</v>
      </c>
      <c r="C34" s="34"/>
      <c r="D34" s="34"/>
      <c r="E34" s="34"/>
      <c r="F34" s="34"/>
      <c r="G34" s="34"/>
      <c r="H34" s="34">
        <f t="shared" ref="H34:H35" si="10">IF(C34="X",1)+IF(D34="X",2)+IF(E34="X",3)+IF(F34="X",4)+IF(G34="X",5)</f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7" t="s">
        <v>87</v>
      </c>
      <c r="B35" s="33" t="s">
        <v>88</v>
      </c>
      <c r="C35" s="34"/>
      <c r="D35" s="34"/>
      <c r="E35" s="34"/>
      <c r="F35" s="34"/>
      <c r="G35" s="34"/>
      <c r="H35" s="34">
        <f t="shared" si="10"/>
        <v>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2"/>
      <c r="B36" s="20" t="s">
        <v>82</v>
      </c>
      <c r="C36" s="32"/>
      <c r="D36" s="32"/>
      <c r="E36" s="32"/>
      <c r="F36" s="32"/>
      <c r="G36" s="32"/>
      <c r="H36" s="3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7" t="s">
        <v>89</v>
      </c>
      <c r="B37" s="33" t="s">
        <v>90</v>
      </c>
      <c r="C37" s="34"/>
      <c r="D37" s="34"/>
      <c r="E37" s="34"/>
      <c r="F37" s="34"/>
      <c r="G37" s="34"/>
      <c r="H37" s="34">
        <f t="shared" ref="H37:H38" si="11">IF(C37="X",1)+IF(D37="X",2)+IF(E37="X",3)+IF(F37="X",4)+IF(G37="X",5)</f>
        <v>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8" t="s">
        <v>91</v>
      </c>
      <c r="B38" s="35" t="s">
        <v>92</v>
      </c>
      <c r="C38" s="41"/>
      <c r="D38" s="41"/>
      <c r="E38" s="41"/>
      <c r="F38" s="41"/>
      <c r="G38" s="41"/>
      <c r="H38" s="41">
        <f t="shared" si="11"/>
        <v>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1"/>
      <c r="B39" s="39" t="s">
        <v>82</v>
      </c>
      <c r="C39" s="31" t="s">
        <v>113</v>
      </c>
      <c r="D39" s="31" t="s">
        <v>114</v>
      </c>
      <c r="E39" s="31" t="s">
        <v>115</v>
      </c>
      <c r="F39" s="31" t="s">
        <v>116</v>
      </c>
      <c r="G39" s="31" t="s">
        <v>117</v>
      </c>
      <c r="H39" s="31" t="s">
        <v>37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7" t="s">
        <v>93</v>
      </c>
      <c r="B40" s="33" t="s">
        <v>94</v>
      </c>
      <c r="C40" s="34"/>
      <c r="D40" s="34"/>
      <c r="E40" s="34"/>
      <c r="F40" s="34"/>
      <c r="G40" s="34"/>
      <c r="H40" s="34">
        <f t="shared" ref="H40:H41" si="12">IF(C40="X",1)+IF(D40="X",2)+IF(E40="X",3)+IF(F40="X",4)+IF(G40="X",5)</f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8" t="s">
        <v>95</v>
      </c>
      <c r="B41" s="35" t="s">
        <v>96</v>
      </c>
      <c r="C41" s="41"/>
      <c r="D41" s="41"/>
      <c r="E41" s="41"/>
      <c r="F41" s="41"/>
      <c r="G41" s="41"/>
      <c r="H41" s="41">
        <f t="shared" si="12"/>
        <v>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1"/>
      <c r="B42" s="31" t="s">
        <v>44</v>
      </c>
      <c r="C42" s="31" t="s">
        <v>113</v>
      </c>
      <c r="D42" s="31" t="s">
        <v>114</v>
      </c>
      <c r="E42" s="31" t="s">
        <v>115</v>
      </c>
      <c r="F42" s="31" t="s">
        <v>116</v>
      </c>
      <c r="G42" s="31" t="s">
        <v>117</v>
      </c>
      <c r="H42" s="31" t="s">
        <v>37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7" t="s">
        <v>118</v>
      </c>
      <c r="B43" s="33" t="s">
        <v>98</v>
      </c>
      <c r="C43" s="34"/>
      <c r="D43" s="34"/>
      <c r="E43" s="34"/>
      <c r="F43" s="40"/>
      <c r="G43" s="40"/>
      <c r="H43" s="34">
        <f t="shared" ref="H43:H44" si="13">IF(C43="X",1)+IF(D43="X",2)+IF(E43="X",3)+IF(F43="X",4)+IF(G43="X",5)</f>
        <v>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7" t="s">
        <v>119</v>
      </c>
      <c r="B44" s="33" t="s">
        <v>100</v>
      </c>
      <c r="C44" s="34"/>
      <c r="D44" s="34"/>
      <c r="E44" s="34"/>
      <c r="F44" s="34"/>
      <c r="G44" s="34"/>
      <c r="H44" s="34">
        <f t="shared" si="13"/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2"/>
      <c r="B45" s="30" t="s">
        <v>82</v>
      </c>
      <c r="C45" s="32"/>
      <c r="D45" s="32"/>
      <c r="E45" s="32"/>
      <c r="F45" s="32"/>
      <c r="G45" s="32"/>
      <c r="H45" s="3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7" t="s">
        <v>101</v>
      </c>
      <c r="B46" s="35" t="s">
        <v>102</v>
      </c>
      <c r="C46" s="34"/>
      <c r="D46" s="34"/>
      <c r="E46" s="34"/>
      <c r="F46" s="34"/>
      <c r="G46" s="34"/>
      <c r="H46" s="34">
        <f>IF(C46="X",1)+IF(D46="X",2)+IF(E46="X",3)+IF(F46="X",4)+IF(G46="X",5)</f>
        <v>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1"/>
      <c r="B47" s="31" t="s">
        <v>82</v>
      </c>
      <c r="C47" s="31" t="s">
        <v>113</v>
      </c>
      <c r="D47" s="31" t="s">
        <v>114</v>
      </c>
      <c r="E47" s="31" t="s">
        <v>115</v>
      </c>
      <c r="F47" s="31" t="s">
        <v>116</v>
      </c>
      <c r="G47" s="31" t="s">
        <v>117</v>
      </c>
      <c r="H47" s="31" t="s">
        <v>37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7" t="s">
        <v>103</v>
      </c>
      <c r="B48" s="33" t="s">
        <v>104</v>
      </c>
      <c r="C48" s="40"/>
      <c r="D48" s="34"/>
      <c r="E48" s="34"/>
      <c r="F48" s="34"/>
      <c r="G48" s="34"/>
      <c r="H48" s="34">
        <f t="shared" ref="H48:H49" si="14">IF(C48="X",1)+IF(D48="X",2)+IF(E48="X",3)+IF(F48="X",4)+IF(G48="X",5)</f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8" t="s">
        <v>105</v>
      </c>
      <c r="B49" s="35" t="s">
        <v>106</v>
      </c>
      <c r="C49" s="41"/>
      <c r="D49" s="41"/>
      <c r="E49" s="41"/>
      <c r="F49" s="42"/>
      <c r="G49" s="41"/>
      <c r="H49" s="41">
        <f t="shared" si="14"/>
        <v>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1"/>
      <c r="B50" s="31" t="s">
        <v>65</v>
      </c>
      <c r="C50" s="31" t="s">
        <v>113</v>
      </c>
      <c r="D50" s="31" t="s">
        <v>114</v>
      </c>
      <c r="E50" s="31" t="s">
        <v>115</v>
      </c>
      <c r="F50" s="31" t="s">
        <v>116</v>
      </c>
      <c r="G50" s="31" t="s">
        <v>117</v>
      </c>
      <c r="H50" s="31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7" t="s">
        <v>107</v>
      </c>
      <c r="B51" s="33" t="s">
        <v>108</v>
      </c>
      <c r="C51" s="34"/>
      <c r="D51" s="34"/>
      <c r="E51" s="34"/>
      <c r="F51" s="34"/>
      <c r="G51" s="34"/>
      <c r="H51" s="34">
        <f>IF(C51="X",1)+IF(D51="X",2)+IF(E51="X",3)+IF(F51="X",4)+IF(G51="X",5)</f>
        <v>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2"/>
      <c r="B52" s="30" t="s">
        <v>82</v>
      </c>
      <c r="C52" s="32"/>
      <c r="D52" s="32"/>
      <c r="E52" s="32"/>
      <c r="F52" s="32"/>
      <c r="G52" s="32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7" t="s">
        <v>109</v>
      </c>
      <c r="B53" s="33" t="s">
        <v>110</v>
      </c>
      <c r="C53" s="34"/>
      <c r="D53" s="34"/>
      <c r="E53" s="34"/>
      <c r="F53" s="34"/>
      <c r="G53" s="34"/>
      <c r="H53" s="34">
        <f t="shared" ref="H53:H54" si="15">IF(C53="X",1)+IF(D53="X",2)+IF(E53="X",3)+IF(F53="X",4)+IF(G53="X",5)</f>
        <v>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7" t="s">
        <v>111</v>
      </c>
      <c r="B54" s="33" t="s">
        <v>112</v>
      </c>
      <c r="C54" s="34"/>
      <c r="D54" s="34"/>
      <c r="E54" s="34"/>
      <c r="F54" s="34"/>
      <c r="G54" s="34"/>
      <c r="H54" s="34">
        <f t="shared" si="15"/>
        <v>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 ht="15.75" customHeight="1">
      <c r="A1" s="30"/>
      <c r="B1" s="31" t="s">
        <v>36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32" t="s">
        <v>38</v>
      </c>
      <c r="B2" s="33" t="s">
        <v>39</v>
      </c>
      <c r="C2" s="34"/>
      <c r="D2" s="34"/>
      <c r="E2" s="40" t="s">
        <v>120</v>
      </c>
      <c r="F2" s="40"/>
      <c r="G2" s="40"/>
      <c r="H2" s="34">
        <f t="shared" ref="H2:H4" si="1">IF(C2="X",1)+IF(D2="X",2)+IF(E2="X",3)+IF(F2="X",4)+IF(G2="X",5)</f>
        <v>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32" t="s">
        <v>40</v>
      </c>
      <c r="B3" s="35" t="s">
        <v>41</v>
      </c>
      <c r="C3" s="34"/>
      <c r="D3" s="34"/>
      <c r="E3" s="40" t="s">
        <v>120</v>
      </c>
      <c r="F3" s="40"/>
      <c r="G3" s="34"/>
      <c r="H3" s="34">
        <f t="shared" si="1"/>
        <v>3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36" t="s">
        <v>42</v>
      </c>
      <c r="B4" s="35" t="s">
        <v>43</v>
      </c>
      <c r="C4" s="41"/>
      <c r="D4" s="41"/>
      <c r="E4" s="42"/>
      <c r="F4" s="42" t="s">
        <v>120</v>
      </c>
      <c r="G4" s="42"/>
      <c r="H4" s="41">
        <f t="shared" si="1"/>
        <v>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30"/>
      <c r="B5" s="20" t="s">
        <v>44</v>
      </c>
      <c r="C5" s="30"/>
      <c r="D5" s="30"/>
      <c r="E5" s="30"/>
      <c r="F5" s="30"/>
      <c r="G5" s="30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32" t="s">
        <v>45</v>
      </c>
      <c r="B6" s="33" t="s">
        <v>46</v>
      </c>
      <c r="C6" s="34"/>
      <c r="D6" s="34"/>
      <c r="E6" s="40"/>
      <c r="F6" s="40" t="s">
        <v>120</v>
      </c>
      <c r="G6" s="34"/>
      <c r="H6" s="34">
        <f t="shared" ref="H6:H7" si="2">IF(C6="X",1)+IF(D6="X",2)+IF(E6="X",3)+IF(F6="X",4)+IF(G6="X",5)</f>
        <v>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32" t="s">
        <v>47</v>
      </c>
      <c r="B7" s="33" t="s">
        <v>48</v>
      </c>
      <c r="C7" s="34"/>
      <c r="D7" s="34"/>
      <c r="E7" s="40"/>
      <c r="F7" s="40" t="s">
        <v>120</v>
      </c>
      <c r="G7" s="34"/>
      <c r="H7" s="34">
        <f t="shared" si="2"/>
        <v>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31"/>
      <c r="B8" s="31" t="s">
        <v>44</v>
      </c>
      <c r="C8" s="31" t="s">
        <v>113</v>
      </c>
      <c r="D8" s="31" t="s">
        <v>114</v>
      </c>
      <c r="E8" s="31" t="s">
        <v>115</v>
      </c>
      <c r="F8" s="31" t="s">
        <v>116</v>
      </c>
      <c r="G8" s="31" t="s">
        <v>117</v>
      </c>
      <c r="H8" s="31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37" t="s">
        <v>49</v>
      </c>
      <c r="B9" s="33" t="s">
        <v>50</v>
      </c>
      <c r="C9" s="34"/>
      <c r="D9" s="40" t="s">
        <v>120</v>
      </c>
      <c r="E9" s="42"/>
      <c r="F9" s="40"/>
      <c r="G9" s="34"/>
      <c r="H9" s="34">
        <f t="shared" ref="H9:H11" si="3">IF(C9="X",1)+IF(D9="X",2)+IF(E9="X",3)+IF(F9="X",4)+IF(G9="X",5)</f>
        <v>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37" t="s">
        <v>51</v>
      </c>
      <c r="B10" s="33" t="s">
        <v>52</v>
      </c>
      <c r="C10" s="34"/>
      <c r="D10" s="43" t="s">
        <v>120</v>
      </c>
      <c r="E10" s="44"/>
      <c r="F10" s="45"/>
      <c r="G10" s="34"/>
      <c r="H10" s="34">
        <f t="shared" si="3"/>
        <v>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38" t="s">
        <v>53</v>
      </c>
      <c r="B11" s="35" t="s">
        <v>54</v>
      </c>
      <c r="C11" s="41"/>
      <c r="D11" s="46" t="s">
        <v>120</v>
      </c>
      <c r="E11" s="47"/>
      <c r="F11" s="48"/>
      <c r="G11" s="41"/>
      <c r="H11" s="41">
        <f t="shared" si="3"/>
        <v>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31"/>
      <c r="B12" s="31" t="s">
        <v>36</v>
      </c>
      <c r="C12" s="31" t="s">
        <v>113</v>
      </c>
      <c r="D12" s="31" t="s">
        <v>114</v>
      </c>
      <c r="E12" s="31" t="s">
        <v>115</v>
      </c>
      <c r="F12" s="31" t="s">
        <v>116</v>
      </c>
      <c r="G12" s="31" t="s">
        <v>117</v>
      </c>
      <c r="H12" s="3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37" t="s">
        <v>55</v>
      </c>
      <c r="B13" s="33" t="s">
        <v>56</v>
      </c>
      <c r="C13" s="34"/>
      <c r="D13" s="34"/>
      <c r="E13" s="40" t="s">
        <v>120</v>
      </c>
      <c r="F13" s="40"/>
      <c r="G13" s="40"/>
      <c r="H13" s="34">
        <f t="shared" ref="H13:H15" si="4">IF(C13="X",1)+IF(D13="X",2)+IF(E13="X",3)+IF(F13="X",4)+IF(G13="X",5)</f>
        <v>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37" t="s">
        <v>57</v>
      </c>
      <c r="B14" s="33" t="s">
        <v>58</v>
      </c>
      <c r="C14" s="34"/>
      <c r="D14" s="34"/>
      <c r="E14" s="40" t="s">
        <v>120</v>
      </c>
      <c r="F14" s="34"/>
      <c r="G14" s="34"/>
      <c r="H14" s="34">
        <f t="shared" si="4"/>
        <v>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37" t="s">
        <v>59</v>
      </c>
      <c r="B15" s="33" t="s">
        <v>60</v>
      </c>
      <c r="C15" s="34"/>
      <c r="D15" s="34"/>
      <c r="E15" s="40" t="s">
        <v>120</v>
      </c>
      <c r="F15" s="34"/>
      <c r="G15" s="34"/>
      <c r="H15" s="34">
        <f t="shared" si="4"/>
        <v>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1"/>
      <c r="B16" s="31" t="s">
        <v>36</v>
      </c>
      <c r="C16" s="31" t="s">
        <v>113</v>
      </c>
      <c r="D16" s="31" t="s">
        <v>114</v>
      </c>
      <c r="E16" s="31" t="s">
        <v>115</v>
      </c>
      <c r="F16" s="31" t="s">
        <v>116</v>
      </c>
      <c r="G16" s="31" t="s">
        <v>117</v>
      </c>
      <c r="H16" s="31" t="s">
        <v>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37" t="s">
        <v>61</v>
      </c>
      <c r="B17" s="33" t="s">
        <v>62</v>
      </c>
      <c r="C17" s="40"/>
      <c r="D17" s="34"/>
      <c r="E17" s="40" t="s">
        <v>120</v>
      </c>
      <c r="F17" s="40"/>
      <c r="G17" s="40"/>
      <c r="H17" s="34">
        <f t="shared" ref="H17:H18" si="5">IF(C17="X",1)+IF(D17="X",2)+IF(E17="X",3)+IF(F17="X",4)+IF(G17="X",5)</f>
        <v>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7" t="s">
        <v>63</v>
      </c>
      <c r="B18" s="33" t="s">
        <v>64</v>
      </c>
      <c r="C18" s="40"/>
      <c r="D18" s="34"/>
      <c r="E18" s="40" t="s">
        <v>120</v>
      </c>
      <c r="F18" s="34"/>
      <c r="G18" s="34"/>
      <c r="H18" s="34">
        <f t="shared" si="5"/>
        <v>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32"/>
      <c r="B19" s="30" t="s">
        <v>65</v>
      </c>
      <c r="C19" s="32"/>
      <c r="D19" s="32"/>
      <c r="E19" s="32"/>
      <c r="F19" s="32"/>
      <c r="G19" s="32"/>
      <c r="H19" s="3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37" t="s">
        <v>66</v>
      </c>
      <c r="B20" s="33" t="s">
        <v>67</v>
      </c>
      <c r="C20" s="40"/>
      <c r="D20" s="34"/>
      <c r="E20" s="40" t="s">
        <v>120</v>
      </c>
      <c r="F20" s="34"/>
      <c r="G20" s="34"/>
      <c r="H20" s="34">
        <f t="shared" ref="H20:H21" si="6">IF(C20="X",1)+IF(D20="X",2)+IF(E20="X",3)+IF(F20="X",4)+IF(G20="X",5)</f>
        <v>3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7" t="s">
        <v>68</v>
      </c>
      <c r="B21" s="33" t="s">
        <v>69</v>
      </c>
      <c r="C21" s="40"/>
      <c r="D21" s="34"/>
      <c r="E21" s="40" t="s">
        <v>120</v>
      </c>
      <c r="F21" s="34"/>
      <c r="G21" s="34"/>
      <c r="H21" s="34">
        <f t="shared" si="6"/>
        <v>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2"/>
      <c r="B22" s="30" t="s">
        <v>44</v>
      </c>
      <c r="C22" s="32"/>
      <c r="D22" s="32"/>
      <c r="E22" s="32"/>
      <c r="F22" s="32"/>
      <c r="G22" s="32"/>
      <c r="H22" s="3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7" t="s">
        <v>70</v>
      </c>
      <c r="B23" s="33" t="s">
        <v>71</v>
      </c>
      <c r="C23" s="40"/>
      <c r="D23" s="34"/>
      <c r="E23" s="40" t="s">
        <v>120</v>
      </c>
      <c r="F23" s="34"/>
      <c r="G23" s="34"/>
      <c r="H23" s="34">
        <f t="shared" ref="H23:H24" si="7">IF(C23="X",1)+IF(D23="X",2)+IF(E23="X",3)+IF(F23="X",4)+IF(G23="X",5)</f>
        <v>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7" t="s">
        <v>72</v>
      </c>
      <c r="B24" s="33" t="s">
        <v>73</v>
      </c>
      <c r="C24" s="40"/>
      <c r="D24" s="34"/>
      <c r="E24" s="40" t="s">
        <v>120</v>
      </c>
      <c r="F24" s="34"/>
      <c r="G24" s="34"/>
      <c r="H24" s="34">
        <f t="shared" si="7"/>
        <v>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1"/>
      <c r="B25" s="31" t="s">
        <v>36</v>
      </c>
      <c r="C25" s="32" t="s">
        <v>113</v>
      </c>
      <c r="D25" s="32" t="s">
        <v>114</v>
      </c>
      <c r="E25" s="32" t="s">
        <v>115</v>
      </c>
      <c r="F25" s="32" t="s">
        <v>116</v>
      </c>
      <c r="G25" s="32" t="s">
        <v>117</v>
      </c>
      <c r="H25" s="31" t="s">
        <v>37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7" t="s">
        <v>74</v>
      </c>
      <c r="B26" s="33" t="s">
        <v>75</v>
      </c>
      <c r="C26" s="49"/>
      <c r="D26" s="49"/>
      <c r="E26" s="49"/>
      <c r="F26" s="23"/>
      <c r="G26" s="23"/>
      <c r="H26" s="34">
        <f t="shared" ref="H26:H27" si="8">IF(C26="X",1)+IF(D26="X",2)+IF(E26="X",3)+IF(F26="X",4)+IF(G26="X",5)</f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7" t="s">
        <v>76</v>
      </c>
      <c r="B27" s="33" t="s">
        <v>77</v>
      </c>
      <c r="C27" s="49"/>
      <c r="D27" s="49"/>
      <c r="E27" s="49"/>
      <c r="F27" s="49"/>
      <c r="G27" s="49"/>
      <c r="H27" s="34">
        <f t="shared" si="8"/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2"/>
      <c r="B28" s="30" t="s">
        <v>44</v>
      </c>
      <c r="C28" s="32"/>
      <c r="D28" s="32"/>
      <c r="E28" s="32"/>
      <c r="F28" s="32"/>
      <c r="G28" s="32"/>
      <c r="H28" s="3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7" t="s">
        <v>78</v>
      </c>
      <c r="B29" s="33" t="s">
        <v>79</v>
      </c>
      <c r="C29" s="49"/>
      <c r="D29" s="49"/>
      <c r="E29" s="49"/>
      <c r="F29" s="49"/>
      <c r="G29" s="49"/>
      <c r="H29" s="34">
        <f t="shared" ref="H29:H30" si="9">IF(C29="X",1)+IF(D29="X",2)+IF(E29="X",3)+IF(F29="X",4)+IF(G29="X",5)</f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7" t="s">
        <v>80</v>
      </c>
      <c r="B30" s="33" t="s">
        <v>81</v>
      </c>
      <c r="C30" s="49"/>
      <c r="D30" s="49"/>
      <c r="E30" s="49"/>
      <c r="F30" s="49"/>
      <c r="G30" s="49"/>
      <c r="H30" s="34">
        <f t="shared" si="9"/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2"/>
      <c r="B31" s="30" t="s">
        <v>82</v>
      </c>
      <c r="C31" s="32"/>
      <c r="D31" s="32"/>
      <c r="E31" s="32"/>
      <c r="F31" s="32"/>
      <c r="G31" s="32"/>
      <c r="H31" s="3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7" t="s">
        <v>83</v>
      </c>
      <c r="B32" s="33" t="s">
        <v>84</v>
      </c>
      <c r="C32" s="49"/>
      <c r="D32" s="49"/>
      <c r="E32" s="49"/>
      <c r="F32" s="23"/>
      <c r="G32" s="49"/>
      <c r="H32" s="34">
        <f>IF(C32="X",1)+IF(D32="X",2)+IF(E32="X",3)+IF(F32="X",4)+IF(G32="X",5)</f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1"/>
      <c r="B33" s="31" t="s">
        <v>44</v>
      </c>
      <c r="C33" s="31"/>
      <c r="D33" s="31"/>
      <c r="E33" s="31"/>
      <c r="F33" s="31"/>
      <c r="G33" s="31" t="s">
        <v>117</v>
      </c>
      <c r="H33" s="31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7" t="s">
        <v>85</v>
      </c>
      <c r="B34" s="33" t="s">
        <v>86</v>
      </c>
      <c r="C34" s="40"/>
      <c r="D34" s="34"/>
      <c r="E34" s="34"/>
      <c r="F34" s="40" t="s">
        <v>120</v>
      </c>
      <c r="G34" s="34"/>
      <c r="H34" s="34">
        <f t="shared" ref="H34:H35" si="10">IF(C34="X",1)+IF(D34="X",2)+IF(E34="X",3)+IF(F34="X",4)+IF(G34="X",5)</f>
        <v>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7" t="s">
        <v>87</v>
      </c>
      <c r="B35" s="33" t="s">
        <v>88</v>
      </c>
      <c r="C35" s="40"/>
      <c r="D35" s="34"/>
      <c r="E35" s="34"/>
      <c r="F35" s="40" t="s">
        <v>120</v>
      </c>
      <c r="G35" s="34"/>
      <c r="H35" s="34">
        <f t="shared" si="10"/>
        <v>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2"/>
      <c r="B36" s="20" t="s">
        <v>82</v>
      </c>
      <c r="C36" s="32"/>
      <c r="D36" s="32"/>
      <c r="E36" s="32"/>
      <c r="F36" s="32"/>
      <c r="G36" s="32"/>
      <c r="H36" s="3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7" t="s">
        <v>89</v>
      </c>
      <c r="B37" s="33" t="s">
        <v>90</v>
      </c>
      <c r="C37" s="34"/>
      <c r="D37" s="34"/>
      <c r="E37" s="40" t="s">
        <v>120</v>
      </c>
      <c r="F37" s="40"/>
      <c r="G37" s="34"/>
      <c r="H37" s="34">
        <f t="shared" ref="H37:H38" si="11">IF(C37="X",1)+IF(D37="X",2)+IF(E37="X",3)+IF(F37="X",4)+IF(G37="X",5)</f>
        <v>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8" t="s">
        <v>91</v>
      </c>
      <c r="B38" s="35" t="s">
        <v>92</v>
      </c>
      <c r="C38" s="41"/>
      <c r="D38" s="41"/>
      <c r="E38" s="42" t="s">
        <v>120</v>
      </c>
      <c r="F38" s="42"/>
      <c r="G38" s="41"/>
      <c r="H38" s="41">
        <f t="shared" si="11"/>
        <v>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1"/>
      <c r="B39" s="39" t="s">
        <v>82</v>
      </c>
      <c r="C39" s="31" t="s">
        <v>113</v>
      </c>
      <c r="D39" s="31" t="s">
        <v>114</v>
      </c>
      <c r="E39" s="31" t="s">
        <v>115</v>
      </c>
      <c r="F39" s="31" t="s">
        <v>116</v>
      </c>
      <c r="G39" s="31" t="s">
        <v>117</v>
      </c>
      <c r="H39" s="31" t="s">
        <v>37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7" t="s">
        <v>93</v>
      </c>
      <c r="B40" s="33" t="s">
        <v>94</v>
      </c>
      <c r="C40" s="34"/>
      <c r="D40" s="40" t="s">
        <v>120</v>
      </c>
      <c r="E40" s="34"/>
      <c r="F40" s="34"/>
      <c r="G40" s="34"/>
      <c r="H40" s="34">
        <f t="shared" ref="H40:H41" si="12">IF(C40="X",1)+IF(D40="X",2)+IF(E40="X",3)+IF(F40="X",4)+IF(G40="X",5)</f>
        <v>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8" t="s">
        <v>95</v>
      </c>
      <c r="B41" s="35" t="s">
        <v>96</v>
      </c>
      <c r="C41" s="41"/>
      <c r="D41" s="42" t="s">
        <v>120</v>
      </c>
      <c r="E41" s="41"/>
      <c r="F41" s="41"/>
      <c r="G41" s="41"/>
      <c r="H41" s="41">
        <f t="shared" si="12"/>
        <v>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1"/>
      <c r="B42" s="31" t="s">
        <v>44</v>
      </c>
      <c r="C42" s="31" t="s">
        <v>113</v>
      </c>
      <c r="D42" s="31" t="s">
        <v>114</v>
      </c>
      <c r="E42" s="31" t="s">
        <v>115</v>
      </c>
      <c r="F42" s="31" t="s">
        <v>116</v>
      </c>
      <c r="G42" s="31" t="s">
        <v>117</v>
      </c>
      <c r="H42" s="31" t="s">
        <v>37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7" t="s">
        <v>118</v>
      </c>
      <c r="B43" s="33" t="s">
        <v>98</v>
      </c>
      <c r="C43" s="34"/>
      <c r="D43" s="34"/>
      <c r="E43" s="40" t="s">
        <v>120</v>
      </c>
      <c r="F43" s="40"/>
      <c r="G43" s="40"/>
      <c r="H43" s="34">
        <f t="shared" ref="H43:H44" si="13">IF(C43="X",1)+IF(D43="X",2)+IF(E43="X",3)+IF(F43="X",4)+IF(G43="X",5)</f>
        <v>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7" t="s">
        <v>119</v>
      </c>
      <c r="B44" s="33" t="s">
        <v>100</v>
      </c>
      <c r="C44" s="34"/>
      <c r="D44" s="34"/>
      <c r="E44" s="40" t="s">
        <v>120</v>
      </c>
      <c r="F44" s="34"/>
      <c r="G44" s="40"/>
      <c r="H44" s="34">
        <f t="shared" si="13"/>
        <v>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2"/>
      <c r="B45" s="30" t="s">
        <v>82</v>
      </c>
      <c r="C45" s="32"/>
      <c r="D45" s="32"/>
      <c r="E45" s="37" t="s">
        <v>120</v>
      </c>
      <c r="F45" s="32"/>
      <c r="G45" s="32"/>
      <c r="H45" s="3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7" t="s">
        <v>101</v>
      </c>
      <c r="B46" s="35" t="s">
        <v>102</v>
      </c>
      <c r="C46" s="34"/>
      <c r="D46" s="34"/>
      <c r="E46" s="34"/>
      <c r="F46" s="34"/>
      <c r="G46" s="40"/>
      <c r="H46" s="34">
        <f>IF(C46="X",1)+IF(D46="X",2)+IF(E46="X",3)+IF(F46="X",4)+IF(G46="X",5)</f>
        <v>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1"/>
      <c r="B47" s="31" t="s">
        <v>82</v>
      </c>
      <c r="C47" s="31" t="s">
        <v>113</v>
      </c>
      <c r="D47" s="31" t="s">
        <v>114</v>
      </c>
      <c r="E47" s="31" t="s">
        <v>115</v>
      </c>
      <c r="F47" s="31" t="s">
        <v>116</v>
      </c>
      <c r="G47" s="31" t="s">
        <v>117</v>
      </c>
      <c r="H47" s="31" t="s">
        <v>37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7" t="s">
        <v>103</v>
      </c>
      <c r="B48" s="33" t="s">
        <v>104</v>
      </c>
      <c r="C48" s="40"/>
      <c r="D48" s="34"/>
      <c r="E48" s="34"/>
      <c r="F48" s="40" t="s">
        <v>120</v>
      </c>
      <c r="G48" s="34"/>
      <c r="H48" s="34">
        <f t="shared" ref="H48:H49" si="14">IF(C48="X",1)+IF(D48="X",2)+IF(E48="X",3)+IF(F48="X",4)+IF(G48="X",5)</f>
        <v>4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8" t="s">
        <v>105</v>
      </c>
      <c r="B49" s="35" t="s">
        <v>106</v>
      </c>
      <c r="C49" s="41"/>
      <c r="D49" s="41"/>
      <c r="E49" s="41"/>
      <c r="F49" s="42" t="s">
        <v>120</v>
      </c>
      <c r="G49" s="41"/>
      <c r="H49" s="41">
        <f t="shared" si="14"/>
        <v>4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1"/>
      <c r="B50" s="31" t="s">
        <v>65</v>
      </c>
      <c r="C50" s="50" t="s">
        <v>113</v>
      </c>
      <c r="D50" s="50" t="s">
        <v>114</v>
      </c>
      <c r="E50" s="50" t="s">
        <v>115</v>
      </c>
      <c r="F50" s="50" t="s">
        <v>116</v>
      </c>
      <c r="G50" s="50" t="s">
        <v>117</v>
      </c>
      <c r="H50" s="31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7" t="s">
        <v>107</v>
      </c>
      <c r="B51" s="33" t="s">
        <v>108</v>
      </c>
      <c r="C51" s="49"/>
      <c r="D51" s="49"/>
      <c r="E51" s="23" t="s">
        <v>120</v>
      </c>
      <c r="F51" s="49"/>
      <c r="G51" s="49"/>
      <c r="H51" s="34">
        <f>IF(C51="X",1)+IF(D51="X",2)+IF(E51="X",3)+IF(F51="X",4)+IF(G51="X",5)</f>
        <v>3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2"/>
      <c r="B52" s="30" t="s">
        <v>82</v>
      </c>
      <c r="C52" s="51"/>
      <c r="D52" s="51"/>
      <c r="E52" s="51"/>
      <c r="F52" s="51"/>
      <c r="G52" s="51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7" t="s">
        <v>109</v>
      </c>
      <c r="B53" s="33" t="s">
        <v>110</v>
      </c>
      <c r="C53" s="49"/>
      <c r="D53" s="49"/>
      <c r="E53" s="23" t="s">
        <v>120</v>
      </c>
      <c r="F53" s="49"/>
      <c r="G53" s="49"/>
      <c r="H53" s="34">
        <f t="shared" ref="H53:H54" si="15">IF(C53="X",1)+IF(D53="X",2)+IF(E53="X",3)+IF(F53="X",4)+IF(G53="X",5)</f>
        <v>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7" t="s">
        <v>111</v>
      </c>
      <c r="B54" s="33" t="s">
        <v>112</v>
      </c>
      <c r="C54" s="49"/>
      <c r="D54" s="49"/>
      <c r="E54" s="23" t="s">
        <v>120</v>
      </c>
      <c r="F54" s="49"/>
      <c r="G54" s="49"/>
      <c r="H54" s="34">
        <f t="shared" si="15"/>
        <v>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 ht="15.75" customHeight="1">
      <c r="A1" s="30"/>
      <c r="B1" s="31" t="s">
        <v>36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32" t="s">
        <v>38</v>
      </c>
      <c r="B2" s="33" t="s">
        <v>39</v>
      </c>
      <c r="C2" s="34"/>
      <c r="D2" s="34"/>
      <c r="E2" s="40" t="s">
        <v>120</v>
      </c>
      <c r="F2" s="40"/>
      <c r="G2" s="40"/>
      <c r="H2" s="34">
        <f t="shared" ref="H2:H4" si="1">IF(C2="X",1)+IF(D2="X",2)+IF(E2="X",3)+IF(F2="X",4)+IF(G2="X",5)</f>
        <v>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32" t="s">
        <v>40</v>
      </c>
      <c r="B3" s="35" t="s">
        <v>41</v>
      </c>
      <c r="C3" s="34"/>
      <c r="D3" s="40" t="s">
        <v>120</v>
      </c>
      <c r="E3" s="40"/>
      <c r="F3" s="40"/>
      <c r="G3" s="34"/>
      <c r="H3" s="34">
        <f t="shared" si="1"/>
        <v>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36" t="s">
        <v>42</v>
      </c>
      <c r="B4" s="35" t="s">
        <v>43</v>
      </c>
      <c r="C4" s="41"/>
      <c r="D4" s="41"/>
      <c r="E4" s="42"/>
      <c r="F4" s="42" t="s">
        <v>120</v>
      </c>
      <c r="G4" s="42"/>
      <c r="H4" s="41">
        <f t="shared" si="1"/>
        <v>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30"/>
      <c r="B5" s="20" t="s">
        <v>44</v>
      </c>
      <c r="C5" s="30"/>
      <c r="D5" s="30"/>
      <c r="E5" s="30"/>
      <c r="F5" s="30"/>
      <c r="G5" s="30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32" t="s">
        <v>45</v>
      </c>
      <c r="B6" s="33" t="s">
        <v>46</v>
      </c>
      <c r="C6" s="34"/>
      <c r="D6" s="40" t="s">
        <v>120</v>
      </c>
      <c r="E6" s="40"/>
      <c r="F6" s="40"/>
      <c r="G6" s="34"/>
      <c r="H6" s="34">
        <f t="shared" ref="H6:H7" si="2">IF(C6="X",1)+IF(D6="X",2)+IF(E6="X",3)+IF(F6="X",4)+IF(G6="X",5)</f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32" t="s">
        <v>47</v>
      </c>
      <c r="B7" s="33" t="s">
        <v>48</v>
      </c>
      <c r="C7" s="34"/>
      <c r="D7" s="34"/>
      <c r="E7" s="40"/>
      <c r="F7" s="40" t="s">
        <v>120</v>
      </c>
      <c r="G7" s="34"/>
      <c r="H7" s="34">
        <f t="shared" si="2"/>
        <v>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31"/>
      <c r="B8" s="31" t="s">
        <v>44</v>
      </c>
      <c r="C8" s="31" t="s">
        <v>113</v>
      </c>
      <c r="D8" s="31" t="s">
        <v>114</v>
      </c>
      <c r="E8" s="31" t="s">
        <v>115</v>
      </c>
      <c r="F8" s="31" t="s">
        <v>116</v>
      </c>
      <c r="G8" s="31" t="s">
        <v>117</v>
      </c>
      <c r="H8" s="31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37" t="s">
        <v>49</v>
      </c>
      <c r="B9" s="33" t="s">
        <v>50</v>
      </c>
      <c r="C9" s="34"/>
      <c r="D9" s="40"/>
      <c r="E9" s="42" t="s">
        <v>120</v>
      </c>
      <c r="F9" s="40"/>
      <c r="G9" s="34"/>
      <c r="H9" s="34">
        <f t="shared" ref="H9:H11" si="3">IF(C9="X",1)+IF(D9="X",2)+IF(E9="X",3)+IF(F9="X",4)+IF(G9="X",5)</f>
        <v>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37" t="s">
        <v>51</v>
      </c>
      <c r="B10" s="33" t="s">
        <v>52</v>
      </c>
      <c r="C10" s="34"/>
      <c r="D10" s="43" t="s">
        <v>120</v>
      </c>
      <c r="E10" s="44"/>
      <c r="F10" s="45"/>
      <c r="G10" s="34"/>
      <c r="H10" s="34">
        <f t="shared" si="3"/>
        <v>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38" t="s">
        <v>53</v>
      </c>
      <c r="B11" s="35" t="s">
        <v>54</v>
      </c>
      <c r="C11" s="41"/>
      <c r="D11" s="46"/>
      <c r="E11" s="47"/>
      <c r="F11" s="48" t="s">
        <v>120</v>
      </c>
      <c r="G11" s="41"/>
      <c r="H11" s="41">
        <f t="shared" si="3"/>
        <v>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31"/>
      <c r="B12" s="31" t="s">
        <v>36</v>
      </c>
      <c r="C12" s="31" t="s">
        <v>113</v>
      </c>
      <c r="D12" s="31" t="s">
        <v>114</v>
      </c>
      <c r="E12" s="31" t="s">
        <v>115</v>
      </c>
      <c r="F12" s="31" t="s">
        <v>116</v>
      </c>
      <c r="G12" s="31" t="s">
        <v>117</v>
      </c>
      <c r="H12" s="3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37" t="s">
        <v>55</v>
      </c>
      <c r="B13" s="33" t="s">
        <v>56</v>
      </c>
      <c r="C13" s="40" t="s">
        <v>120</v>
      </c>
      <c r="D13" s="34"/>
      <c r="E13" s="40"/>
      <c r="F13" s="40"/>
      <c r="G13" s="40"/>
      <c r="H13" s="34">
        <f t="shared" ref="H13:H15" si="4">IF(C13="X",1)+IF(D13="X",2)+IF(E13="X",3)+IF(F13="X",4)+IF(G13="X",5)</f>
        <v>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37" t="s">
        <v>57</v>
      </c>
      <c r="B14" s="33" t="s">
        <v>58</v>
      </c>
      <c r="C14" s="34"/>
      <c r="D14" s="34"/>
      <c r="E14" s="40" t="s">
        <v>120</v>
      </c>
      <c r="F14" s="34"/>
      <c r="G14" s="34"/>
      <c r="H14" s="34">
        <f t="shared" si="4"/>
        <v>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37" t="s">
        <v>59</v>
      </c>
      <c r="B15" s="33" t="s">
        <v>60</v>
      </c>
      <c r="C15" s="34"/>
      <c r="D15" s="40" t="s">
        <v>120</v>
      </c>
      <c r="E15" s="40"/>
      <c r="F15" s="34"/>
      <c r="G15" s="34"/>
      <c r="H15" s="34">
        <f t="shared" si="4"/>
        <v>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1"/>
      <c r="B16" s="31" t="s">
        <v>36</v>
      </c>
      <c r="C16" s="31" t="s">
        <v>113</v>
      </c>
      <c r="D16" s="31" t="s">
        <v>114</v>
      </c>
      <c r="E16" s="31" t="s">
        <v>115</v>
      </c>
      <c r="F16" s="31" t="s">
        <v>116</v>
      </c>
      <c r="G16" s="31" t="s">
        <v>117</v>
      </c>
      <c r="H16" s="31" t="s">
        <v>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37" t="s">
        <v>61</v>
      </c>
      <c r="B17" s="33" t="s">
        <v>62</v>
      </c>
      <c r="C17" s="40" t="s">
        <v>120</v>
      </c>
      <c r="D17" s="34"/>
      <c r="E17" s="40"/>
      <c r="F17" s="40"/>
      <c r="G17" s="40"/>
      <c r="H17" s="34">
        <f t="shared" ref="H17:H18" si="5">IF(C17="X",1)+IF(D17="X",2)+IF(E17="X",3)+IF(F17="X",4)+IF(G17="X",5)</f>
        <v>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7" t="s">
        <v>63</v>
      </c>
      <c r="B18" s="33" t="s">
        <v>64</v>
      </c>
      <c r="C18" s="40"/>
      <c r="D18" s="40" t="s">
        <v>120</v>
      </c>
      <c r="E18" s="40"/>
      <c r="F18" s="34"/>
      <c r="G18" s="34"/>
      <c r="H18" s="34">
        <f t="shared" si="5"/>
        <v>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32"/>
      <c r="B19" s="30" t="s">
        <v>65</v>
      </c>
      <c r="C19" s="32"/>
      <c r="D19" s="32"/>
      <c r="E19" s="32"/>
      <c r="F19" s="32"/>
      <c r="G19" s="32"/>
      <c r="H19" s="3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37" t="s">
        <v>66</v>
      </c>
      <c r="B20" s="33" t="s">
        <v>67</v>
      </c>
      <c r="C20" s="40"/>
      <c r="D20" s="34"/>
      <c r="E20" s="40" t="s">
        <v>120</v>
      </c>
      <c r="F20" s="34"/>
      <c r="G20" s="34"/>
      <c r="H20" s="34">
        <f t="shared" ref="H20:H21" si="6">IF(C20="X",1)+IF(D20="X",2)+IF(E20="X",3)+IF(F20="X",4)+IF(G20="X",5)</f>
        <v>3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7" t="s">
        <v>68</v>
      </c>
      <c r="B21" s="33" t="s">
        <v>69</v>
      </c>
      <c r="C21" s="40"/>
      <c r="D21" s="34"/>
      <c r="E21" s="40" t="s">
        <v>120</v>
      </c>
      <c r="F21" s="34"/>
      <c r="G21" s="34"/>
      <c r="H21" s="34">
        <f t="shared" si="6"/>
        <v>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2"/>
      <c r="B22" s="30" t="s">
        <v>44</v>
      </c>
      <c r="C22" s="32"/>
      <c r="D22" s="32"/>
      <c r="E22" s="32"/>
      <c r="F22" s="32"/>
      <c r="G22" s="32"/>
      <c r="H22" s="3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7" t="s">
        <v>70</v>
      </c>
      <c r="B23" s="33" t="s">
        <v>71</v>
      </c>
      <c r="C23" s="40"/>
      <c r="D23" s="34"/>
      <c r="E23" s="40" t="s">
        <v>120</v>
      </c>
      <c r="F23" s="34"/>
      <c r="G23" s="34"/>
      <c r="H23" s="34">
        <f t="shared" ref="H23:H24" si="7">IF(C23="X",1)+IF(D23="X",2)+IF(E23="X",3)+IF(F23="X",4)+IF(G23="X",5)</f>
        <v>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7" t="s">
        <v>72</v>
      </c>
      <c r="B24" s="33" t="s">
        <v>73</v>
      </c>
      <c r="C24" s="40"/>
      <c r="D24" s="34"/>
      <c r="E24" s="40" t="s">
        <v>120</v>
      </c>
      <c r="F24" s="34"/>
      <c r="G24" s="34"/>
      <c r="H24" s="34">
        <f t="shared" si="7"/>
        <v>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1"/>
      <c r="B25" s="31" t="s">
        <v>36</v>
      </c>
      <c r="C25" s="32" t="s">
        <v>113</v>
      </c>
      <c r="D25" s="32" t="s">
        <v>114</v>
      </c>
      <c r="E25" s="32" t="s">
        <v>115</v>
      </c>
      <c r="F25" s="32" t="s">
        <v>116</v>
      </c>
      <c r="G25" s="32" t="s">
        <v>117</v>
      </c>
      <c r="H25" s="31" t="s">
        <v>37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7" t="s">
        <v>74</v>
      </c>
      <c r="B26" s="33" t="s">
        <v>75</v>
      </c>
      <c r="C26" s="49"/>
      <c r="D26" s="49"/>
      <c r="E26" s="49"/>
      <c r="F26" s="23"/>
      <c r="G26" s="23"/>
      <c r="H26" s="34">
        <f t="shared" ref="H26:H27" si="8">IF(C26="X",1)+IF(D26="X",2)+IF(E26="X",3)+IF(F26="X",4)+IF(G26="X",5)</f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7" t="s">
        <v>76</v>
      </c>
      <c r="B27" s="33" t="s">
        <v>77</v>
      </c>
      <c r="C27" s="49"/>
      <c r="D27" s="49"/>
      <c r="E27" s="49"/>
      <c r="F27" s="49"/>
      <c r="G27" s="49"/>
      <c r="H27" s="34">
        <f t="shared" si="8"/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2"/>
      <c r="B28" s="30" t="s">
        <v>44</v>
      </c>
      <c r="C28" s="32"/>
      <c r="D28" s="32"/>
      <c r="E28" s="32"/>
      <c r="F28" s="32"/>
      <c r="G28" s="32"/>
      <c r="H28" s="3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7" t="s">
        <v>78</v>
      </c>
      <c r="B29" s="33" t="s">
        <v>79</v>
      </c>
      <c r="C29" s="49"/>
      <c r="D29" s="49"/>
      <c r="E29" s="49"/>
      <c r="F29" s="49"/>
      <c r="G29" s="49"/>
      <c r="H29" s="34">
        <f t="shared" ref="H29:H30" si="9">IF(C29="X",1)+IF(D29="X",2)+IF(E29="X",3)+IF(F29="X",4)+IF(G29="X",5)</f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7" t="s">
        <v>80</v>
      </c>
      <c r="B30" s="33" t="s">
        <v>81</v>
      </c>
      <c r="C30" s="49"/>
      <c r="D30" s="49"/>
      <c r="E30" s="49"/>
      <c r="F30" s="49"/>
      <c r="G30" s="49"/>
      <c r="H30" s="34">
        <f t="shared" si="9"/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2"/>
      <c r="B31" s="30" t="s">
        <v>82</v>
      </c>
      <c r="C31" s="32"/>
      <c r="D31" s="32"/>
      <c r="E31" s="32"/>
      <c r="F31" s="32"/>
      <c r="G31" s="32"/>
      <c r="H31" s="3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7" t="s">
        <v>83</v>
      </c>
      <c r="B32" s="33" t="s">
        <v>84</v>
      </c>
      <c r="C32" s="49"/>
      <c r="D32" s="49"/>
      <c r="E32" s="49"/>
      <c r="F32" s="23"/>
      <c r="G32" s="49"/>
      <c r="H32" s="34">
        <f>IF(C32="X",1)+IF(D32="X",2)+IF(E32="X",3)+IF(F32="X",4)+IF(G32="X",5)</f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1"/>
      <c r="B33" s="31" t="s">
        <v>44</v>
      </c>
      <c r="C33" s="31"/>
      <c r="D33" s="31"/>
      <c r="E33" s="31"/>
      <c r="F33" s="31"/>
      <c r="G33" s="31" t="s">
        <v>117</v>
      </c>
      <c r="H33" s="31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7" t="s">
        <v>85</v>
      </c>
      <c r="B34" s="33" t="s">
        <v>86</v>
      </c>
      <c r="C34" s="40"/>
      <c r="D34" s="34"/>
      <c r="E34" s="34"/>
      <c r="F34" s="40" t="s">
        <v>120</v>
      </c>
      <c r="G34" s="34"/>
      <c r="H34" s="34">
        <f t="shared" ref="H34:H35" si="10">IF(C34="X",1)+IF(D34="X",2)+IF(E34="X",3)+IF(F34="X",4)+IF(G34="X",5)</f>
        <v>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7" t="s">
        <v>87</v>
      </c>
      <c r="B35" s="33" t="s">
        <v>88</v>
      </c>
      <c r="C35" s="40"/>
      <c r="D35" s="34"/>
      <c r="E35" s="34"/>
      <c r="F35" s="40" t="s">
        <v>120</v>
      </c>
      <c r="G35" s="34"/>
      <c r="H35" s="34">
        <f t="shared" si="10"/>
        <v>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2"/>
      <c r="B36" s="20" t="s">
        <v>82</v>
      </c>
      <c r="C36" s="32"/>
      <c r="D36" s="32"/>
      <c r="E36" s="32"/>
      <c r="F36" s="32"/>
      <c r="G36" s="32"/>
      <c r="H36" s="3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7" t="s">
        <v>89</v>
      </c>
      <c r="B37" s="33" t="s">
        <v>90</v>
      </c>
      <c r="C37" s="34"/>
      <c r="D37" s="34"/>
      <c r="E37" s="40" t="s">
        <v>120</v>
      </c>
      <c r="F37" s="40"/>
      <c r="G37" s="34"/>
      <c r="H37" s="34">
        <f t="shared" ref="H37:H38" si="11">IF(C37="X",1)+IF(D37="X",2)+IF(E37="X",3)+IF(F37="X",4)+IF(G37="X",5)</f>
        <v>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8" t="s">
        <v>91</v>
      </c>
      <c r="B38" s="35" t="s">
        <v>92</v>
      </c>
      <c r="C38" s="41"/>
      <c r="D38" s="41"/>
      <c r="E38" s="42" t="s">
        <v>120</v>
      </c>
      <c r="F38" s="42"/>
      <c r="G38" s="41"/>
      <c r="H38" s="41">
        <f t="shared" si="11"/>
        <v>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1"/>
      <c r="B39" s="39" t="s">
        <v>82</v>
      </c>
      <c r="C39" s="31" t="s">
        <v>113</v>
      </c>
      <c r="D39" s="31" t="s">
        <v>114</v>
      </c>
      <c r="E39" s="31" t="s">
        <v>115</v>
      </c>
      <c r="F39" s="31" t="s">
        <v>116</v>
      </c>
      <c r="G39" s="31" t="s">
        <v>117</v>
      </c>
      <c r="H39" s="31" t="s">
        <v>37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7" t="s">
        <v>93</v>
      </c>
      <c r="B40" s="33" t="s">
        <v>94</v>
      </c>
      <c r="C40" s="34"/>
      <c r="D40" s="34"/>
      <c r="E40" s="40" t="s">
        <v>120</v>
      </c>
      <c r="F40" s="34"/>
      <c r="G40" s="34"/>
      <c r="H40" s="34">
        <f t="shared" ref="H40:H41" si="12">IF(C40="X",1)+IF(D40="X",2)+IF(E40="X",3)+IF(F40="X",4)+IF(G40="X",5)</f>
        <v>3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8" t="s">
        <v>95</v>
      </c>
      <c r="B41" s="35" t="s">
        <v>96</v>
      </c>
      <c r="C41" s="41"/>
      <c r="D41" s="41"/>
      <c r="E41" s="42" t="s">
        <v>120</v>
      </c>
      <c r="F41" s="41"/>
      <c r="G41" s="41"/>
      <c r="H41" s="41">
        <f t="shared" si="12"/>
        <v>3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1"/>
      <c r="B42" s="31" t="s">
        <v>44</v>
      </c>
      <c r="C42" s="31" t="s">
        <v>113</v>
      </c>
      <c r="D42" s="31" t="s">
        <v>114</v>
      </c>
      <c r="E42" s="31" t="s">
        <v>115</v>
      </c>
      <c r="F42" s="31" t="s">
        <v>116</v>
      </c>
      <c r="G42" s="31" t="s">
        <v>117</v>
      </c>
      <c r="H42" s="31" t="s">
        <v>37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7" t="s">
        <v>118</v>
      </c>
      <c r="B43" s="33" t="s">
        <v>98</v>
      </c>
      <c r="C43" s="34"/>
      <c r="D43" s="34"/>
      <c r="E43" s="40"/>
      <c r="F43" s="40" t="s">
        <v>120</v>
      </c>
      <c r="G43" s="40"/>
      <c r="H43" s="34">
        <f t="shared" ref="H43:H44" si="13">IF(C43="X",1)+IF(D43="X",2)+IF(E43="X",3)+IF(F43="X",4)+IF(G43="X",5)</f>
        <v>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7" t="s">
        <v>119</v>
      </c>
      <c r="B44" s="33" t="s">
        <v>100</v>
      </c>
      <c r="C44" s="34"/>
      <c r="D44" s="34"/>
      <c r="E44" s="40"/>
      <c r="F44" s="40" t="s">
        <v>120</v>
      </c>
      <c r="G44" s="40"/>
      <c r="H44" s="34">
        <f t="shared" si="13"/>
        <v>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2"/>
      <c r="B45" s="30" t="s">
        <v>82</v>
      </c>
      <c r="C45" s="32"/>
      <c r="D45" s="32"/>
      <c r="E45" s="37"/>
      <c r="F45" s="32"/>
      <c r="G45" s="32"/>
      <c r="H45" s="3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7" t="s">
        <v>101</v>
      </c>
      <c r="B46" s="35" t="s">
        <v>102</v>
      </c>
      <c r="C46" s="34"/>
      <c r="D46" s="34"/>
      <c r="E46" s="34"/>
      <c r="F46" s="34"/>
      <c r="G46" s="40"/>
      <c r="H46" s="34">
        <f>IF(C46="X",1)+IF(D46="X",2)+IF(E46="X",3)+IF(F46="X",4)+IF(G46="X",5)</f>
        <v>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1"/>
      <c r="B47" s="31" t="s">
        <v>82</v>
      </c>
      <c r="C47" s="31" t="s">
        <v>113</v>
      </c>
      <c r="D47" s="31" t="s">
        <v>114</v>
      </c>
      <c r="E47" s="31" t="s">
        <v>115</v>
      </c>
      <c r="F47" s="31" t="s">
        <v>116</v>
      </c>
      <c r="G47" s="31" t="s">
        <v>117</v>
      </c>
      <c r="H47" s="31" t="s">
        <v>37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7" t="s">
        <v>103</v>
      </c>
      <c r="B48" s="33" t="s">
        <v>104</v>
      </c>
      <c r="C48" s="40"/>
      <c r="D48" s="40" t="s">
        <v>120</v>
      </c>
      <c r="E48" s="34"/>
      <c r="F48" s="40"/>
      <c r="G48" s="34"/>
      <c r="H48" s="34">
        <f t="shared" ref="H48:H49" si="14">IF(C48="X",1)+IF(D48="X",2)+IF(E48="X",3)+IF(F48="X",4)+IF(G48="X",5)</f>
        <v>2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8" t="s">
        <v>105</v>
      </c>
      <c r="B49" s="35" t="s">
        <v>106</v>
      </c>
      <c r="C49" s="41"/>
      <c r="D49" s="42" t="s">
        <v>120</v>
      </c>
      <c r="E49" s="41"/>
      <c r="F49" s="42"/>
      <c r="G49" s="41"/>
      <c r="H49" s="41">
        <f t="shared" si="14"/>
        <v>2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1"/>
      <c r="B50" s="31" t="s">
        <v>65</v>
      </c>
      <c r="C50" s="50" t="s">
        <v>113</v>
      </c>
      <c r="D50" s="50" t="s">
        <v>114</v>
      </c>
      <c r="E50" s="50" t="s">
        <v>115</v>
      </c>
      <c r="F50" s="50" t="s">
        <v>116</v>
      </c>
      <c r="G50" s="50" t="s">
        <v>117</v>
      </c>
      <c r="H50" s="31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7" t="s">
        <v>107</v>
      </c>
      <c r="B51" s="33" t="s">
        <v>108</v>
      </c>
      <c r="C51" s="49"/>
      <c r="D51" s="49"/>
      <c r="E51" s="23" t="s">
        <v>120</v>
      </c>
      <c r="F51" s="49"/>
      <c r="G51" s="49"/>
      <c r="H51" s="34">
        <f>IF(C51="X",1)+IF(D51="X",2)+IF(E51="X",3)+IF(F51="X",4)+IF(G51="X",5)</f>
        <v>3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2"/>
      <c r="B52" s="30" t="s">
        <v>82</v>
      </c>
      <c r="C52" s="51"/>
      <c r="D52" s="51"/>
      <c r="E52" s="51"/>
      <c r="F52" s="51"/>
      <c r="G52" s="51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7" t="s">
        <v>109</v>
      </c>
      <c r="B53" s="33" t="s">
        <v>110</v>
      </c>
      <c r="C53" s="49"/>
      <c r="D53" s="49"/>
      <c r="E53" s="23" t="s">
        <v>120</v>
      </c>
      <c r="F53" s="49"/>
      <c r="G53" s="49"/>
      <c r="H53" s="34">
        <f t="shared" ref="H53:H54" si="15">IF(C53="X",1)+IF(D53="X",2)+IF(E53="X",3)+IF(F53="X",4)+IF(G53="X",5)</f>
        <v>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7" t="s">
        <v>111</v>
      </c>
      <c r="B54" s="33" t="s">
        <v>112</v>
      </c>
      <c r="C54" s="49"/>
      <c r="D54" s="49"/>
      <c r="E54" s="23" t="s">
        <v>120</v>
      </c>
      <c r="F54" s="49"/>
      <c r="G54" s="49"/>
      <c r="H54" s="34">
        <f t="shared" si="15"/>
        <v>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 ht="15.75" customHeight="1">
      <c r="A1" s="30"/>
      <c r="B1" s="31" t="s">
        <v>36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32" t="s">
        <v>38</v>
      </c>
      <c r="B2" s="33" t="s">
        <v>39</v>
      </c>
      <c r="C2" s="34"/>
      <c r="D2" s="40" t="s">
        <v>120</v>
      </c>
      <c r="E2" s="40"/>
      <c r="F2" s="40"/>
      <c r="G2" s="40"/>
      <c r="H2" s="34">
        <f t="shared" ref="H2:H4" si="1">IF(C2="X",1)+IF(D2="X",2)+IF(E2="X",3)+IF(F2="X",4)+IF(G2="X",5)</f>
        <v>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32" t="s">
        <v>40</v>
      </c>
      <c r="B3" s="35" t="s">
        <v>41</v>
      </c>
      <c r="C3" s="34"/>
      <c r="D3" s="40" t="s">
        <v>120</v>
      </c>
      <c r="E3" s="40"/>
      <c r="F3" s="40"/>
      <c r="G3" s="34"/>
      <c r="H3" s="34">
        <f t="shared" si="1"/>
        <v>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36" t="s">
        <v>42</v>
      </c>
      <c r="B4" s="35" t="s">
        <v>43</v>
      </c>
      <c r="C4" s="41"/>
      <c r="D4" s="42" t="s">
        <v>120</v>
      </c>
      <c r="E4" s="42"/>
      <c r="F4" s="42"/>
      <c r="G4" s="42"/>
      <c r="H4" s="41">
        <f t="shared" si="1"/>
        <v>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30"/>
      <c r="B5" s="20" t="s">
        <v>44</v>
      </c>
      <c r="C5" s="30"/>
      <c r="D5" s="30"/>
      <c r="E5" s="30"/>
      <c r="F5" s="30"/>
      <c r="G5" s="30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32" t="s">
        <v>45</v>
      </c>
      <c r="B6" s="33" t="s">
        <v>46</v>
      </c>
      <c r="C6" s="34"/>
      <c r="D6" s="40"/>
      <c r="E6" s="40"/>
      <c r="F6" s="40" t="s">
        <v>120</v>
      </c>
      <c r="G6" s="34"/>
      <c r="H6" s="34">
        <f t="shared" ref="H6:H7" si="2">IF(C6="X",1)+IF(D6="X",2)+IF(E6="X",3)+IF(F6="X",4)+IF(G6="X",5)</f>
        <v>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32" t="s">
        <v>47</v>
      </c>
      <c r="B7" s="33" t="s">
        <v>48</v>
      </c>
      <c r="C7" s="34"/>
      <c r="D7" s="40"/>
      <c r="E7" s="40"/>
      <c r="F7" s="40" t="s">
        <v>120</v>
      </c>
      <c r="G7" s="34"/>
      <c r="H7" s="34">
        <f t="shared" si="2"/>
        <v>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31"/>
      <c r="B8" s="31" t="s">
        <v>44</v>
      </c>
      <c r="C8" s="31" t="s">
        <v>113</v>
      </c>
      <c r="D8" s="31" t="s">
        <v>114</v>
      </c>
      <c r="E8" s="31" t="s">
        <v>115</v>
      </c>
      <c r="F8" s="31" t="s">
        <v>116</v>
      </c>
      <c r="G8" s="31" t="s">
        <v>117</v>
      </c>
      <c r="H8" s="31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37" t="s">
        <v>49</v>
      </c>
      <c r="B9" s="33" t="s">
        <v>50</v>
      </c>
      <c r="C9" s="34"/>
      <c r="D9" s="40"/>
      <c r="E9" s="42" t="s">
        <v>120</v>
      </c>
      <c r="F9" s="40"/>
      <c r="G9" s="34"/>
      <c r="H9" s="34">
        <f t="shared" ref="H9:H11" si="3">IF(C9="X",1)+IF(D9="X",2)+IF(E9="X",3)+IF(F9="X",4)+IF(G9="X",5)</f>
        <v>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37" t="s">
        <v>51</v>
      </c>
      <c r="B10" s="33" t="s">
        <v>52</v>
      </c>
      <c r="C10" s="34"/>
      <c r="D10" s="43" t="s">
        <v>120</v>
      </c>
      <c r="E10" s="44"/>
      <c r="F10" s="45"/>
      <c r="G10" s="34"/>
      <c r="H10" s="34">
        <f t="shared" si="3"/>
        <v>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38" t="s">
        <v>53</v>
      </c>
      <c r="B11" s="35" t="s">
        <v>54</v>
      </c>
      <c r="C11" s="41"/>
      <c r="D11" s="46"/>
      <c r="E11" s="47"/>
      <c r="F11" s="48" t="s">
        <v>120</v>
      </c>
      <c r="G11" s="41"/>
      <c r="H11" s="41">
        <f t="shared" si="3"/>
        <v>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31"/>
      <c r="B12" s="31" t="s">
        <v>36</v>
      </c>
      <c r="C12" s="31" t="s">
        <v>113</v>
      </c>
      <c r="D12" s="31" t="s">
        <v>114</v>
      </c>
      <c r="E12" s="31" t="s">
        <v>115</v>
      </c>
      <c r="F12" s="31" t="s">
        <v>116</v>
      </c>
      <c r="G12" s="31" t="s">
        <v>117</v>
      </c>
      <c r="H12" s="3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37" t="s">
        <v>55</v>
      </c>
      <c r="B13" s="33" t="s">
        <v>56</v>
      </c>
      <c r="C13" s="40"/>
      <c r="D13" s="34"/>
      <c r="E13" s="40"/>
      <c r="F13" s="40" t="s">
        <v>120</v>
      </c>
      <c r="G13" s="40"/>
      <c r="H13" s="34">
        <f t="shared" ref="H13:H15" si="4">IF(C13="X",1)+IF(D13="X",2)+IF(E13="X",3)+IF(F13="X",4)+IF(G13="X",5)</f>
        <v>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37" t="s">
        <v>57</v>
      </c>
      <c r="B14" s="33" t="s">
        <v>58</v>
      </c>
      <c r="C14" s="34"/>
      <c r="D14" s="34"/>
      <c r="E14" s="40" t="s">
        <v>120</v>
      </c>
      <c r="F14" s="34"/>
      <c r="G14" s="34"/>
      <c r="H14" s="34">
        <f t="shared" si="4"/>
        <v>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37" t="s">
        <v>59</v>
      </c>
      <c r="B15" s="33" t="s">
        <v>60</v>
      </c>
      <c r="C15" s="34"/>
      <c r="D15" s="40" t="s">
        <v>120</v>
      </c>
      <c r="E15" s="40"/>
      <c r="F15" s="34"/>
      <c r="G15" s="34"/>
      <c r="H15" s="34">
        <f t="shared" si="4"/>
        <v>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1"/>
      <c r="B16" s="31" t="s">
        <v>36</v>
      </c>
      <c r="C16" s="31" t="s">
        <v>113</v>
      </c>
      <c r="D16" s="31" t="s">
        <v>114</v>
      </c>
      <c r="E16" s="31" t="s">
        <v>115</v>
      </c>
      <c r="F16" s="31" t="s">
        <v>116</v>
      </c>
      <c r="G16" s="31" t="s">
        <v>117</v>
      </c>
      <c r="H16" s="31" t="s">
        <v>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37" t="s">
        <v>61</v>
      </c>
      <c r="B17" s="33" t="s">
        <v>62</v>
      </c>
      <c r="C17" s="40"/>
      <c r="D17" s="34"/>
      <c r="E17" s="40" t="s">
        <v>120</v>
      </c>
      <c r="F17" s="40"/>
      <c r="G17" s="40"/>
      <c r="H17" s="34">
        <f t="shared" ref="H17:H18" si="5">IF(C17="X",1)+IF(D17="X",2)+IF(E17="X",3)+IF(F17="X",4)+IF(G17="X",5)</f>
        <v>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7" t="s">
        <v>63</v>
      </c>
      <c r="B18" s="33" t="s">
        <v>64</v>
      </c>
      <c r="C18" s="40"/>
      <c r="D18" s="40"/>
      <c r="E18" s="40" t="s">
        <v>120</v>
      </c>
      <c r="F18" s="34"/>
      <c r="G18" s="34"/>
      <c r="H18" s="34">
        <f t="shared" si="5"/>
        <v>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32"/>
      <c r="B19" s="30" t="s">
        <v>65</v>
      </c>
      <c r="C19" s="32"/>
      <c r="D19" s="32"/>
      <c r="E19" s="32"/>
      <c r="F19" s="32"/>
      <c r="G19" s="32"/>
      <c r="H19" s="3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37" t="s">
        <v>66</v>
      </c>
      <c r="B20" s="33" t="s">
        <v>67</v>
      </c>
      <c r="C20" s="40"/>
      <c r="D20" s="34"/>
      <c r="E20" s="40"/>
      <c r="F20" s="40" t="s">
        <v>120</v>
      </c>
      <c r="G20" s="34"/>
      <c r="H20" s="34">
        <f t="shared" ref="H20:H21" si="6">IF(C20="X",1)+IF(D20="X",2)+IF(E20="X",3)+IF(F20="X",4)+IF(G20="X",5)</f>
        <v>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7" t="s">
        <v>68</v>
      </c>
      <c r="B21" s="33" t="s">
        <v>69</v>
      </c>
      <c r="C21" s="40"/>
      <c r="D21" s="34"/>
      <c r="E21" s="40" t="s">
        <v>120</v>
      </c>
      <c r="F21" s="34"/>
      <c r="G21" s="34"/>
      <c r="H21" s="34">
        <f t="shared" si="6"/>
        <v>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2"/>
      <c r="B22" s="30" t="s">
        <v>44</v>
      </c>
      <c r="C22" s="32"/>
      <c r="D22" s="32"/>
      <c r="E22" s="32"/>
      <c r="F22" s="32"/>
      <c r="G22" s="32"/>
      <c r="H22" s="3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7" t="s">
        <v>70</v>
      </c>
      <c r="B23" s="33" t="s">
        <v>71</v>
      </c>
      <c r="C23" s="40"/>
      <c r="D23" s="34"/>
      <c r="E23" s="40" t="s">
        <v>120</v>
      </c>
      <c r="F23" s="34"/>
      <c r="G23" s="34"/>
      <c r="H23" s="34">
        <f t="shared" ref="H23:H24" si="7">IF(C23="X",1)+IF(D23="X",2)+IF(E23="X",3)+IF(F23="X",4)+IF(G23="X",5)</f>
        <v>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7" t="s">
        <v>72</v>
      </c>
      <c r="B24" s="33" t="s">
        <v>73</v>
      </c>
      <c r="C24" s="40"/>
      <c r="D24" s="40" t="s">
        <v>120</v>
      </c>
      <c r="E24" s="40"/>
      <c r="F24" s="34"/>
      <c r="G24" s="34"/>
      <c r="H24" s="34">
        <f t="shared" si="7"/>
        <v>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1"/>
      <c r="B25" s="31" t="s">
        <v>36</v>
      </c>
      <c r="C25" s="32" t="s">
        <v>113</v>
      </c>
      <c r="D25" s="32" t="s">
        <v>114</v>
      </c>
      <c r="E25" s="32" t="s">
        <v>115</v>
      </c>
      <c r="F25" s="32" t="s">
        <v>116</v>
      </c>
      <c r="G25" s="32" t="s">
        <v>117</v>
      </c>
      <c r="H25" s="31" t="s">
        <v>37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7" t="s">
        <v>74</v>
      </c>
      <c r="B26" s="33" t="s">
        <v>75</v>
      </c>
      <c r="C26" s="49"/>
      <c r="D26" s="49"/>
      <c r="E26" s="49"/>
      <c r="F26" s="23" t="s">
        <v>120</v>
      </c>
      <c r="G26" s="23"/>
      <c r="H26" s="34">
        <f t="shared" ref="H26:H27" si="8">IF(C26="X",1)+IF(D26="X",2)+IF(E26="X",3)+IF(F26="X",4)+IF(G26="X",5)</f>
        <v>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7" t="s">
        <v>76</v>
      </c>
      <c r="B27" s="33" t="s">
        <v>77</v>
      </c>
      <c r="C27" s="49"/>
      <c r="D27" s="49"/>
      <c r="E27" s="49"/>
      <c r="F27" s="23" t="s">
        <v>120</v>
      </c>
      <c r="G27" s="49"/>
      <c r="H27" s="34">
        <f t="shared" si="8"/>
        <v>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2"/>
      <c r="B28" s="30" t="s">
        <v>44</v>
      </c>
      <c r="C28" s="32"/>
      <c r="D28" s="32"/>
      <c r="E28" s="32"/>
      <c r="F28" s="32"/>
      <c r="G28" s="32"/>
      <c r="H28" s="3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7" t="s">
        <v>78</v>
      </c>
      <c r="B29" s="33" t="s">
        <v>79</v>
      </c>
      <c r="C29" s="49"/>
      <c r="D29" s="49"/>
      <c r="E29" s="23" t="s">
        <v>120</v>
      </c>
      <c r="F29" s="49"/>
      <c r="G29" s="49"/>
      <c r="H29" s="34">
        <f t="shared" ref="H29:H30" si="9">IF(C29="X",1)+IF(D29="X",2)+IF(E29="X",3)+IF(F29="X",4)+IF(G29="X",5)</f>
        <v>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7" t="s">
        <v>80</v>
      </c>
      <c r="B30" s="33" t="s">
        <v>81</v>
      </c>
      <c r="C30" s="23" t="s">
        <v>120</v>
      </c>
      <c r="D30" s="49"/>
      <c r="E30" s="49"/>
      <c r="F30" s="23"/>
      <c r="G30" s="49"/>
      <c r="H30" s="34">
        <f t="shared" si="9"/>
        <v>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2"/>
      <c r="B31" s="30" t="s">
        <v>82</v>
      </c>
      <c r="C31" s="32"/>
      <c r="D31" s="32"/>
      <c r="E31" s="32"/>
      <c r="F31" s="32"/>
      <c r="G31" s="32"/>
      <c r="H31" s="3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7" t="s">
        <v>83</v>
      </c>
      <c r="B32" s="33" t="s">
        <v>84</v>
      </c>
      <c r="C32" s="49"/>
      <c r="D32" s="49"/>
      <c r="E32" s="49"/>
      <c r="F32" s="23"/>
      <c r="G32" s="49"/>
      <c r="H32" s="34">
        <f>IF(C32="X",1)+IF(D32="X",2)+IF(E32="X",3)+IF(F32="X",4)+IF(G32="X",5)</f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1"/>
      <c r="B33" s="31" t="s">
        <v>44</v>
      </c>
      <c r="C33" s="31"/>
      <c r="D33" s="31"/>
      <c r="E33" s="31"/>
      <c r="F33" s="31"/>
      <c r="G33" s="31" t="s">
        <v>117</v>
      </c>
      <c r="H33" s="31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7" t="s">
        <v>85</v>
      </c>
      <c r="B34" s="33" t="s">
        <v>86</v>
      </c>
      <c r="C34" s="40"/>
      <c r="D34" s="40" t="s">
        <v>120</v>
      </c>
      <c r="E34" s="34"/>
      <c r="F34" s="40"/>
      <c r="G34" s="34"/>
      <c r="H34" s="34">
        <f t="shared" ref="H34:H35" si="10">IF(C34="X",1)+IF(D34="X",2)+IF(E34="X",3)+IF(F34="X",4)+IF(G34="X",5)</f>
        <v>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7" t="s">
        <v>87</v>
      </c>
      <c r="B35" s="33" t="s">
        <v>88</v>
      </c>
      <c r="C35" s="40"/>
      <c r="D35" s="40" t="s">
        <v>120</v>
      </c>
      <c r="E35" s="34"/>
      <c r="F35" s="40"/>
      <c r="G35" s="34"/>
      <c r="H35" s="34">
        <f t="shared" si="10"/>
        <v>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2"/>
      <c r="B36" s="20" t="s">
        <v>82</v>
      </c>
      <c r="C36" s="32"/>
      <c r="D36" s="32"/>
      <c r="E36" s="32"/>
      <c r="F36" s="32"/>
      <c r="G36" s="32"/>
      <c r="H36" s="3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7" t="s">
        <v>89</v>
      </c>
      <c r="B37" s="33" t="s">
        <v>90</v>
      </c>
      <c r="C37" s="34"/>
      <c r="D37" s="34"/>
      <c r="E37" s="40" t="s">
        <v>120</v>
      </c>
      <c r="F37" s="40"/>
      <c r="G37" s="34"/>
      <c r="H37" s="34">
        <f t="shared" ref="H37:H38" si="11">IF(C37="X",1)+IF(D37="X",2)+IF(E37="X",3)+IF(F37="X",4)+IF(G37="X",5)</f>
        <v>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8" t="s">
        <v>91</v>
      </c>
      <c r="B38" s="35" t="s">
        <v>92</v>
      </c>
      <c r="C38" s="41"/>
      <c r="D38" s="41"/>
      <c r="E38" s="42"/>
      <c r="F38" s="42" t="s">
        <v>120</v>
      </c>
      <c r="G38" s="41"/>
      <c r="H38" s="41">
        <f t="shared" si="11"/>
        <v>4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1"/>
      <c r="B39" s="39" t="s">
        <v>82</v>
      </c>
      <c r="C39" s="31" t="s">
        <v>113</v>
      </c>
      <c r="D39" s="31" t="s">
        <v>114</v>
      </c>
      <c r="E39" s="31" t="s">
        <v>115</v>
      </c>
      <c r="F39" s="31" t="s">
        <v>116</v>
      </c>
      <c r="G39" s="31" t="s">
        <v>117</v>
      </c>
      <c r="H39" s="31" t="s">
        <v>37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7" t="s">
        <v>93</v>
      </c>
      <c r="B40" s="33" t="s">
        <v>94</v>
      </c>
      <c r="C40" s="34"/>
      <c r="D40" s="40" t="s">
        <v>120</v>
      </c>
      <c r="E40" s="34"/>
      <c r="F40" s="34"/>
      <c r="G40" s="34"/>
      <c r="H40" s="34">
        <f t="shared" ref="H40:H41" si="12">IF(C40="X",1)+IF(D40="X",2)+IF(E40="X",3)+IF(F40="X",4)+IF(G40="X",5)</f>
        <v>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8" t="s">
        <v>95</v>
      </c>
      <c r="B41" s="35" t="s">
        <v>96</v>
      </c>
      <c r="C41" s="41"/>
      <c r="D41" s="42" t="s">
        <v>120</v>
      </c>
      <c r="E41" s="41"/>
      <c r="F41" s="41"/>
      <c r="G41" s="41"/>
      <c r="H41" s="41">
        <f t="shared" si="12"/>
        <v>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1"/>
      <c r="B42" s="31" t="s">
        <v>44</v>
      </c>
      <c r="C42" s="31" t="s">
        <v>113</v>
      </c>
      <c r="D42" s="31" t="s">
        <v>114</v>
      </c>
      <c r="E42" s="31" t="s">
        <v>115</v>
      </c>
      <c r="F42" s="31" t="s">
        <v>116</v>
      </c>
      <c r="G42" s="31" t="s">
        <v>117</v>
      </c>
      <c r="H42" s="31" t="s">
        <v>37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7" t="s">
        <v>118</v>
      </c>
      <c r="B43" s="33" t="s">
        <v>98</v>
      </c>
      <c r="C43" s="34"/>
      <c r="D43" s="34"/>
      <c r="E43" s="40"/>
      <c r="F43" s="40" t="s">
        <v>120</v>
      </c>
      <c r="G43" s="40"/>
      <c r="H43" s="34">
        <f t="shared" ref="H43:H44" si="13">IF(C43="X",1)+IF(D43="X",2)+IF(E43="X",3)+IF(F43="X",4)+IF(G43="X",5)</f>
        <v>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7" t="s">
        <v>119</v>
      </c>
      <c r="B44" s="33" t="s">
        <v>100</v>
      </c>
      <c r="C44" s="34"/>
      <c r="D44" s="34"/>
      <c r="E44" s="40"/>
      <c r="F44" s="40" t="s">
        <v>120</v>
      </c>
      <c r="G44" s="40"/>
      <c r="H44" s="34">
        <f t="shared" si="13"/>
        <v>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2"/>
      <c r="B45" s="30" t="s">
        <v>82</v>
      </c>
      <c r="C45" s="32"/>
      <c r="D45" s="32"/>
      <c r="E45" s="37"/>
      <c r="F45" s="32"/>
      <c r="G45" s="32"/>
      <c r="H45" s="3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7" t="s">
        <v>101</v>
      </c>
      <c r="B46" s="35" t="s">
        <v>102</v>
      </c>
      <c r="C46" s="34"/>
      <c r="D46" s="34"/>
      <c r="E46" s="40" t="s">
        <v>120</v>
      </c>
      <c r="F46" s="34"/>
      <c r="G46" s="40"/>
      <c r="H46" s="34">
        <f>IF(C46="X",1)+IF(D46="X",2)+IF(E46="X",3)+IF(F46="X",4)+IF(G46="X",5)</f>
        <v>3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1"/>
      <c r="B47" s="31" t="s">
        <v>82</v>
      </c>
      <c r="C47" s="31" t="s">
        <v>113</v>
      </c>
      <c r="D47" s="31" t="s">
        <v>114</v>
      </c>
      <c r="E47" s="31" t="s">
        <v>115</v>
      </c>
      <c r="F47" s="31" t="s">
        <v>116</v>
      </c>
      <c r="G47" s="31" t="s">
        <v>117</v>
      </c>
      <c r="H47" s="31" t="s">
        <v>37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7" t="s">
        <v>103</v>
      </c>
      <c r="B48" s="33" t="s">
        <v>104</v>
      </c>
      <c r="C48" s="40"/>
      <c r="D48" s="40" t="s">
        <v>120</v>
      </c>
      <c r="E48" s="34"/>
      <c r="F48" s="40"/>
      <c r="G48" s="34"/>
      <c r="H48" s="34">
        <f t="shared" ref="H48:H49" si="14">IF(C48="X",1)+IF(D48="X",2)+IF(E48="X",3)+IF(F48="X",4)+IF(G48="X",5)</f>
        <v>2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8" t="s">
        <v>105</v>
      </c>
      <c r="B49" s="35" t="s">
        <v>106</v>
      </c>
      <c r="C49" s="41"/>
      <c r="D49" s="42" t="s">
        <v>120</v>
      </c>
      <c r="E49" s="41"/>
      <c r="F49" s="42"/>
      <c r="G49" s="41"/>
      <c r="H49" s="41">
        <f t="shared" si="14"/>
        <v>2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1"/>
      <c r="B50" s="31" t="s">
        <v>65</v>
      </c>
      <c r="C50" s="50" t="s">
        <v>113</v>
      </c>
      <c r="D50" s="50" t="s">
        <v>114</v>
      </c>
      <c r="E50" s="50" t="s">
        <v>115</v>
      </c>
      <c r="F50" s="50" t="s">
        <v>116</v>
      </c>
      <c r="G50" s="50" t="s">
        <v>117</v>
      </c>
      <c r="H50" s="31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7" t="s">
        <v>107</v>
      </c>
      <c r="B51" s="33" t="s">
        <v>108</v>
      </c>
      <c r="C51" s="49"/>
      <c r="D51" s="49"/>
      <c r="E51" s="23" t="s">
        <v>120</v>
      </c>
      <c r="F51" s="49"/>
      <c r="G51" s="49"/>
      <c r="H51" s="34">
        <f>IF(C51="X",1)+IF(D51="X",2)+IF(E51="X",3)+IF(F51="X",4)+IF(G51="X",5)</f>
        <v>3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2"/>
      <c r="B52" s="30" t="s">
        <v>82</v>
      </c>
      <c r="C52" s="51"/>
      <c r="D52" s="51"/>
      <c r="E52" s="51"/>
      <c r="F52" s="51"/>
      <c r="G52" s="51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7" t="s">
        <v>109</v>
      </c>
      <c r="B53" s="33" t="s">
        <v>110</v>
      </c>
      <c r="C53" s="49"/>
      <c r="D53" s="49"/>
      <c r="E53" s="23" t="s">
        <v>120</v>
      </c>
      <c r="F53" s="49"/>
      <c r="G53" s="49"/>
      <c r="H53" s="34">
        <f t="shared" ref="H53:H54" si="15">IF(C53="X",1)+IF(D53="X",2)+IF(E53="X",3)+IF(F53="X",4)+IF(G53="X",5)</f>
        <v>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7" t="s">
        <v>111</v>
      </c>
      <c r="B54" s="33" t="s">
        <v>112</v>
      </c>
      <c r="C54" s="49"/>
      <c r="D54" s="49"/>
      <c r="E54" s="23" t="s">
        <v>120</v>
      </c>
      <c r="F54" s="49"/>
      <c r="G54" s="49"/>
      <c r="H54" s="34">
        <f t="shared" si="15"/>
        <v>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 ht="15.75" customHeight="1">
      <c r="A1" s="30"/>
      <c r="B1" s="31" t="s">
        <v>36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32" t="s">
        <v>38</v>
      </c>
      <c r="B2" s="33" t="s">
        <v>39</v>
      </c>
      <c r="C2" s="34"/>
      <c r="D2" s="34"/>
      <c r="E2" s="34"/>
      <c r="F2" s="40" t="s">
        <v>120</v>
      </c>
      <c r="G2" s="40"/>
      <c r="H2" s="34">
        <f t="shared" ref="H2:H4" si="1">IF(C2="X",1)+IF(D2="X",2)+IF(E2="X",3)+IF(F2="X",4)+IF(G2="X",5)</f>
        <v>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32" t="s">
        <v>40</v>
      </c>
      <c r="B3" s="35" t="s">
        <v>41</v>
      </c>
      <c r="C3" s="34"/>
      <c r="D3" s="34"/>
      <c r="E3" s="40" t="s">
        <v>120</v>
      </c>
      <c r="F3" s="34"/>
      <c r="G3" s="34"/>
      <c r="H3" s="34">
        <f t="shared" si="1"/>
        <v>3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36" t="s">
        <v>42</v>
      </c>
      <c r="B4" s="35" t="s">
        <v>43</v>
      </c>
      <c r="C4" s="41"/>
      <c r="D4" s="41"/>
      <c r="E4" s="42" t="s">
        <v>120</v>
      </c>
      <c r="F4" s="41"/>
      <c r="G4" s="41"/>
      <c r="H4" s="41">
        <f t="shared" si="1"/>
        <v>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30"/>
      <c r="B5" s="20" t="s">
        <v>44</v>
      </c>
      <c r="C5" s="30"/>
      <c r="D5" s="30"/>
      <c r="E5" s="30"/>
      <c r="F5" s="30"/>
      <c r="G5" s="30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32" t="s">
        <v>45</v>
      </c>
      <c r="B6" s="33" t="s">
        <v>46</v>
      </c>
      <c r="C6" s="34"/>
      <c r="D6" s="40" t="s">
        <v>120</v>
      </c>
      <c r="E6" s="34"/>
      <c r="F6" s="34"/>
      <c r="G6" s="34"/>
      <c r="H6" s="34">
        <f t="shared" ref="H6:H7" si="2">IF(C6="X",1)+IF(D6="X",2)+IF(E6="X",3)+IF(F6="X",4)+IF(G6="X",5)</f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32" t="s">
        <v>47</v>
      </c>
      <c r="B7" s="33" t="s">
        <v>48</v>
      </c>
      <c r="C7" s="34"/>
      <c r="D7" s="34"/>
      <c r="E7" s="34"/>
      <c r="F7" s="40" t="s">
        <v>120</v>
      </c>
      <c r="G7" s="34"/>
      <c r="H7" s="34">
        <f t="shared" si="2"/>
        <v>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31"/>
      <c r="B8" s="31" t="s">
        <v>44</v>
      </c>
      <c r="C8" s="31" t="s">
        <v>113</v>
      </c>
      <c r="D8" s="31" t="s">
        <v>114</v>
      </c>
      <c r="E8" s="31" t="s">
        <v>115</v>
      </c>
      <c r="F8" s="31" t="s">
        <v>116</v>
      </c>
      <c r="G8" s="31" t="s">
        <v>117</v>
      </c>
      <c r="H8" s="31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37" t="s">
        <v>49</v>
      </c>
      <c r="B9" s="33" t="s">
        <v>50</v>
      </c>
      <c r="C9" s="34"/>
      <c r="D9" s="34"/>
      <c r="E9" s="40"/>
      <c r="F9" s="34"/>
      <c r="G9" s="40" t="s">
        <v>120</v>
      </c>
      <c r="H9" s="34">
        <f t="shared" ref="H9:H11" si="3">IF(C9="X",1)+IF(D9="X",2)+IF(E9="X",3)+IF(F9="X",4)+IF(G9="X",5)</f>
        <v>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37" t="s">
        <v>51</v>
      </c>
      <c r="B10" s="33" t="s">
        <v>52</v>
      </c>
      <c r="C10" s="34"/>
      <c r="D10" s="34"/>
      <c r="E10" s="34"/>
      <c r="F10" s="34"/>
      <c r="G10" s="40" t="s">
        <v>120</v>
      </c>
      <c r="H10" s="34">
        <f t="shared" si="3"/>
        <v>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38" t="s">
        <v>53</v>
      </c>
      <c r="B11" s="35" t="s">
        <v>54</v>
      </c>
      <c r="C11" s="41"/>
      <c r="D11" s="41"/>
      <c r="E11" s="41"/>
      <c r="F11" s="42" t="s">
        <v>120</v>
      </c>
      <c r="G11" s="41"/>
      <c r="H11" s="41">
        <f t="shared" si="3"/>
        <v>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31"/>
      <c r="B12" s="31" t="s">
        <v>36</v>
      </c>
      <c r="C12" s="31" t="s">
        <v>113</v>
      </c>
      <c r="D12" s="31" t="s">
        <v>114</v>
      </c>
      <c r="E12" s="31" t="s">
        <v>115</v>
      </c>
      <c r="F12" s="31" t="s">
        <v>116</v>
      </c>
      <c r="G12" s="31" t="s">
        <v>117</v>
      </c>
      <c r="H12" s="3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37" t="s">
        <v>55</v>
      </c>
      <c r="B13" s="33" t="s">
        <v>56</v>
      </c>
      <c r="C13" s="34"/>
      <c r="D13" s="40" t="s">
        <v>120</v>
      </c>
      <c r="E13" s="34"/>
      <c r="F13" s="40"/>
      <c r="G13" s="40"/>
      <c r="H13" s="34">
        <f t="shared" ref="H13:H15" si="4">IF(C13="X",1)+IF(D13="X",2)+IF(E13="X",3)+IF(F13="X",4)+IF(G13="X",5)</f>
        <v>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37" t="s">
        <v>57</v>
      </c>
      <c r="B14" s="33" t="s">
        <v>58</v>
      </c>
      <c r="C14" s="34"/>
      <c r="D14" s="34"/>
      <c r="E14" s="34"/>
      <c r="F14" s="40" t="s">
        <v>120</v>
      </c>
      <c r="G14" s="34"/>
      <c r="H14" s="34">
        <f t="shared" si="4"/>
        <v>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37" t="s">
        <v>59</v>
      </c>
      <c r="B15" s="33" t="s">
        <v>60</v>
      </c>
      <c r="C15" s="34"/>
      <c r="D15" s="40" t="s">
        <v>120</v>
      </c>
      <c r="E15" s="34"/>
      <c r="F15" s="34"/>
      <c r="G15" s="34"/>
      <c r="H15" s="34">
        <f t="shared" si="4"/>
        <v>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1"/>
      <c r="B16" s="31" t="s">
        <v>36</v>
      </c>
      <c r="C16" s="31" t="s">
        <v>113</v>
      </c>
      <c r="D16" s="31" t="s">
        <v>114</v>
      </c>
      <c r="E16" s="31" t="s">
        <v>115</v>
      </c>
      <c r="F16" s="31" t="s">
        <v>116</v>
      </c>
      <c r="G16" s="31" t="s">
        <v>117</v>
      </c>
      <c r="H16" s="31" t="s">
        <v>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37" t="s">
        <v>61</v>
      </c>
      <c r="B17" s="33" t="s">
        <v>62</v>
      </c>
      <c r="C17" s="34"/>
      <c r="D17" s="34"/>
      <c r="E17" s="40" t="s">
        <v>120</v>
      </c>
      <c r="F17" s="40"/>
      <c r="G17" s="40"/>
      <c r="H17" s="34">
        <f t="shared" ref="H17:H18" si="5">IF(C17="X",1)+IF(D17="X",2)+IF(E17="X",3)+IF(F17="X",4)+IF(G17="X",5)</f>
        <v>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7" t="s">
        <v>63</v>
      </c>
      <c r="B18" s="33" t="s">
        <v>64</v>
      </c>
      <c r="C18" s="34"/>
      <c r="D18" s="34"/>
      <c r="E18" s="34"/>
      <c r="F18" s="40" t="s">
        <v>120</v>
      </c>
      <c r="G18" s="40"/>
      <c r="H18" s="34">
        <f t="shared" si="5"/>
        <v>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32"/>
      <c r="B19" s="30" t="s">
        <v>65</v>
      </c>
      <c r="C19" s="32"/>
      <c r="D19" s="32"/>
      <c r="E19" s="32"/>
      <c r="F19" s="32"/>
      <c r="G19" s="32"/>
      <c r="H19" s="3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37" t="s">
        <v>66</v>
      </c>
      <c r="B20" s="33" t="s">
        <v>67</v>
      </c>
      <c r="C20" s="34"/>
      <c r="D20" s="34"/>
      <c r="E20" s="34"/>
      <c r="F20" s="34"/>
      <c r="G20" s="40" t="s">
        <v>120</v>
      </c>
      <c r="H20" s="34">
        <f t="shared" ref="H20:H21" si="6">IF(C20="X",1)+IF(D20="X",2)+IF(E20="X",3)+IF(F20="X",4)+IF(G20="X",5)</f>
        <v>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7" t="s">
        <v>68</v>
      </c>
      <c r="B21" s="33" t="s">
        <v>69</v>
      </c>
      <c r="C21" s="34"/>
      <c r="D21" s="34"/>
      <c r="E21" s="34"/>
      <c r="F21" s="34"/>
      <c r="G21" s="40" t="s">
        <v>120</v>
      </c>
      <c r="H21" s="34">
        <f t="shared" si="6"/>
        <v>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2"/>
      <c r="B22" s="30" t="s">
        <v>44</v>
      </c>
      <c r="C22" s="32"/>
      <c r="D22" s="32"/>
      <c r="E22" s="32"/>
      <c r="F22" s="32"/>
      <c r="G22" s="32"/>
      <c r="H22" s="3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7" t="s">
        <v>70</v>
      </c>
      <c r="B23" s="33" t="s">
        <v>71</v>
      </c>
      <c r="C23" s="34"/>
      <c r="D23" s="34"/>
      <c r="E23" s="34"/>
      <c r="F23" s="40" t="s">
        <v>120</v>
      </c>
      <c r="G23" s="34"/>
      <c r="H23" s="34">
        <f t="shared" ref="H23:H24" si="7">IF(C23="X",1)+IF(D23="X",2)+IF(E23="X",3)+IF(F23="X",4)+IF(G23="X",5)</f>
        <v>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7" t="s">
        <v>72</v>
      </c>
      <c r="B24" s="33" t="s">
        <v>73</v>
      </c>
      <c r="C24" s="34"/>
      <c r="D24" s="40"/>
      <c r="E24" s="34"/>
      <c r="F24" s="40" t="s">
        <v>120</v>
      </c>
      <c r="G24" s="34"/>
      <c r="H24" s="34">
        <f t="shared" si="7"/>
        <v>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1"/>
      <c r="B25" s="31" t="s">
        <v>36</v>
      </c>
      <c r="C25" s="31" t="s">
        <v>113</v>
      </c>
      <c r="D25" s="31" t="s">
        <v>114</v>
      </c>
      <c r="E25" s="31" t="s">
        <v>115</v>
      </c>
      <c r="F25" s="31" t="s">
        <v>116</v>
      </c>
      <c r="G25" s="31" t="s">
        <v>117</v>
      </c>
      <c r="H25" s="31" t="s">
        <v>37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7" t="s">
        <v>74</v>
      </c>
      <c r="B26" s="33" t="s">
        <v>75</v>
      </c>
      <c r="C26" s="34"/>
      <c r="D26" s="34"/>
      <c r="E26" s="34"/>
      <c r="F26" s="40"/>
      <c r="G26" s="40" t="s">
        <v>120</v>
      </c>
      <c r="H26" s="34">
        <f t="shared" ref="H26:H27" si="8">IF(C26="X",1)+IF(D26="X",2)+IF(E26="X",3)+IF(F26="X",4)+IF(G26="X",5)</f>
        <v>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7" t="s">
        <v>76</v>
      </c>
      <c r="B27" s="33" t="s">
        <v>77</v>
      </c>
      <c r="C27" s="34"/>
      <c r="D27" s="34"/>
      <c r="E27" s="34"/>
      <c r="F27" s="40" t="s">
        <v>120</v>
      </c>
      <c r="G27" s="34"/>
      <c r="H27" s="34">
        <f t="shared" si="8"/>
        <v>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2"/>
      <c r="B28" s="30" t="s">
        <v>44</v>
      </c>
      <c r="C28" s="32"/>
      <c r="D28" s="32"/>
      <c r="E28" s="32"/>
      <c r="F28" s="32"/>
      <c r="G28" s="32"/>
      <c r="H28" s="3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7" t="s">
        <v>78</v>
      </c>
      <c r="B29" s="33" t="s">
        <v>79</v>
      </c>
      <c r="C29" s="34"/>
      <c r="D29" s="40" t="s">
        <v>120</v>
      </c>
      <c r="E29" s="34"/>
      <c r="F29" s="34"/>
      <c r="G29" s="34"/>
      <c r="H29" s="34">
        <f t="shared" ref="H29:H30" si="9">IF(C29="X",1)+IF(D29="X",2)+IF(E29="X",3)+IF(F29="X",4)+IF(G29="X",5)</f>
        <v>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7" t="s">
        <v>80</v>
      </c>
      <c r="B30" s="33" t="s">
        <v>121</v>
      </c>
      <c r="C30" s="34"/>
      <c r="D30" s="34"/>
      <c r="E30" s="34"/>
      <c r="F30" s="40" t="s">
        <v>120</v>
      </c>
      <c r="G30" s="34"/>
      <c r="H30" s="34">
        <f t="shared" si="9"/>
        <v>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2"/>
      <c r="B31" s="30" t="s">
        <v>82</v>
      </c>
      <c r="C31" s="32"/>
      <c r="D31" s="32"/>
      <c r="E31" s="32"/>
      <c r="F31" s="32"/>
      <c r="G31" s="32"/>
      <c r="H31" s="3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7" t="s">
        <v>83</v>
      </c>
      <c r="B32" s="33" t="s">
        <v>84</v>
      </c>
      <c r="C32" s="34"/>
      <c r="D32" s="34"/>
      <c r="E32" s="34"/>
      <c r="F32" s="34"/>
      <c r="G32" s="40" t="s">
        <v>120</v>
      </c>
      <c r="H32" s="34">
        <f>IF(C32="X",1)+IF(D32="X",2)+IF(E32="X",3)+IF(F32="X",4)+IF(G32="X",5)</f>
        <v>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1"/>
      <c r="B33" s="31" t="s">
        <v>44</v>
      </c>
      <c r="C33" s="31" t="s">
        <v>113</v>
      </c>
      <c r="D33" s="31" t="s">
        <v>114</v>
      </c>
      <c r="E33" s="31" t="s">
        <v>115</v>
      </c>
      <c r="F33" s="31" t="s">
        <v>116</v>
      </c>
      <c r="G33" s="31" t="s">
        <v>117</v>
      </c>
      <c r="H33" s="31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7" t="s">
        <v>85</v>
      </c>
      <c r="B34" s="33" t="s">
        <v>86</v>
      </c>
      <c r="C34" s="34"/>
      <c r="D34" s="40" t="s">
        <v>120</v>
      </c>
      <c r="E34" s="40"/>
      <c r="F34" s="40"/>
      <c r="G34" s="34"/>
      <c r="H34" s="34">
        <f t="shared" ref="H34:H35" si="10">IF(C34="X",1)+IF(D34="X",2)+IF(E34="X",3)+IF(F34="X",4)+IF(G34="X",5)</f>
        <v>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7" t="s">
        <v>87</v>
      </c>
      <c r="B35" s="33" t="s">
        <v>88</v>
      </c>
      <c r="C35" s="34"/>
      <c r="D35" s="40" t="s">
        <v>120</v>
      </c>
      <c r="E35" s="34"/>
      <c r="F35" s="34"/>
      <c r="G35" s="34"/>
      <c r="H35" s="34">
        <f t="shared" si="10"/>
        <v>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2"/>
      <c r="B36" s="20" t="s">
        <v>82</v>
      </c>
      <c r="C36" s="32"/>
      <c r="D36" s="32"/>
      <c r="E36" s="32"/>
      <c r="F36" s="32"/>
      <c r="G36" s="32"/>
      <c r="H36" s="3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7" t="s">
        <v>89</v>
      </c>
      <c r="B37" s="33" t="s">
        <v>90</v>
      </c>
      <c r="C37" s="34"/>
      <c r="D37" s="34"/>
      <c r="E37" s="40" t="s">
        <v>120</v>
      </c>
      <c r="F37" s="34"/>
      <c r="G37" s="34"/>
      <c r="H37" s="34">
        <f t="shared" ref="H37:H38" si="11">IF(C37="X",1)+IF(D37="X",2)+IF(E37="X",3)+IF(F37="X",4)+IF(G37="X",5)</f>
        <v>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8" t="s">
        <v>91</v>
      </c>
      <c r="B38" s="35" t="s">
        <v>92</v>
      </c>
      <c r="C38" s="42" t="s">
        <v>120</v>
      </c>
      <c r="D38" s="41"/>
      <c r="E38" s="41"/>
      <c r="F38" s="41"/>
      <c r="G38" s="41"/>
      <c r="H38" s="41">
        <f t="shared" si="11"/>
        <v>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1"/>
      <c r="B39" s="39" t="s">
        <v>82</v>
      </c>
      <c r="C39" s="31" t="s">
        <v>113</v>
      </c>
      <c r="D39" s="31" t="s">
        <v>114</v>
      </c>
      <c r="E39" s="31" t="s">
        <v>115</v>
      </c>
      <c r="F39" s="31" t="s">
        <v>116</v>
      </c>
      <c r="G39" s="31" t="s">
        <v>117</v>
      </c>
      <c r="H39" s="31" t="s">
        <v>37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7" t="s">
        <v>93</v>
      </c>
      <c r="B40" s="33" t="s">
        <v>94</v>
      </c>
      <c r="C40" s="34"/>
      <c r="D40" s="34"/>
      <c r="E40" s="34"/>
      <c r="F40" s="40" t="s">
        <v>120</v>
      </c>
      <c r="G40" s="34"/>
      <c r="H40" s="34">
        <f t="shared" ref="H40:H41" si="12">IF(C40="X",1)+IF(D40="X",2)+IF(E40="X",3)+IF(F40="X",4)+IF(G40="X",5)</f>
        <v>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8" t="s">
        <v>95</v>
      </c>
      <c r="B41" s="35" t="s">
        <v>96</v>
      </c>
      <c r="C41" s="41"/>
      <c r="D41" s="41"/>
      <c r="E41" s="41"/>
      <c r="F41" s="41"/>
      <c r="G41" s="42" t="s">
        <v>120</v>
      </c>
      <c r="H41" s="41">
        <f t="shared" si="12"/>
        <v>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1"/>
      <c r="B42" s="31" t="s">
        <v>44</v>
      </c>
      <c r="C42" s="31" t="s">
        <v>113</v>
      </c>
      <c r="D42" s="31" t="s">
        <v>114</v>
      </c>
      <c r="E42" s="31" t="s">
        <v>115</v>
      </c>
      <c r="F42" s="31" t="s">
        <v>116</v>
      </c>
      <c r="G42" s="31" t="s">
        <v>117</v>
      </c>
      <c r="H42" s="31" t="s">
        <v>37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7" t="s">
        <v>118</v>
      </c>
      <c r="B43" s="33" t="s">
        <v>98</v>
      </c>
      <c r="C43" s="34"/>
      <c r="D43" s="34"/>
      <c r="E43" s="34"/>
      <c r="F43" s="40"/>
      <c r="G43" s="40" t="s">
        <v>120</v>
      </c>
      <c r="H43" s="34">
        <f t="shared" ref="H43:H44" si="13">IF(C43="X",1)+IF(D43="X",2)+IF(E43="X",3)+IF(F43="X",4)+IF(G43="X",5)</f>
        <v>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7" t="s">
        <v>119</v>
      </c>
      <c r="B44" s="33" t="s">
        <v>100</v>
      </c>
      <c r="C44" s="34"/>
      <c r="D44" s="40" t="s">
        <v>120</v>
      </c>
      <c r="E44" s="40"/>
      <c r="F44" s="34"/>
      <c r="G44" s="34"/>
      <c r="H44" s="34">
        <f t="shared" si="13"/>
        <v>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2"/>
      <c r="B45" s="30" t="s">
        <v>82</v>
      </c>
      <c r="C45" s="32"/>
      <c r="D45" s="32"/>
      <c r="E45" s="32"/>
      <c r="F45" s="32"/>
      <c r="G45" s="32"/>
      <c r="H45" s="3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7" t="s">
        <v>101</v>
      </c>
      <c r="B46" s="35" t="s">
        <v>102</v>
      </c>
      <c r="C46" s="34"/>
      <c r="D46" s="34"/>
      <c r="E46" s="34"/>
      <c r="F46" s="40" t="s">
        <v>120</v>
      </c>
      <c r="G46" s="34"/>
      <c r="H46" s="34">
        <f>IF(C46="X",1)+IF(D46="X",2)+IF(E46="X",3)+IF(F46="X",4)+IF(G46="X",5)</f>
        <v>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1"/>
      <c r="B47" s="31" t="s">
        <v>82</v>
      </c>
      <c r="C47" s="31" t="s">
        <v>113</v>
      </c>
      <c r="D47" s="31" t="s">
        <v>114</v>
      </c>
      <c r="E47" s="31" t="s">
        <v>115</v>
      </c>
      <c r="F47" s="31" t="s">
        <v>116</v>
      </c>
      <c r="G47" s="31" t="s">
        <v>117</v>
      </c>
      <c r="H47" s="31" t="s">
        <v>37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7" t="s">
        <v>103</v>
      </c>
      <c r="B48" s="33" t="s">
        <v>104</v>
      </c>
      <c r="C48" s="40"/>
      <c r="D48" s="40" t="s">
        <v>120</v>
      </c>
      <c r="E48" s="34"/>
      <c r="F48" s="34"/>
      <c r="G48" s="34"/>
      <c r="H48" s="34">
        <f t="shared" ref="H48:H49" si="14">IF(C48="X",1)+IF(D48="X",2)+IF(E48="X",3)+IF(F48="X",4)+IF(G48="X",5)</f>
        <v>2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8" t="s">
        <v>105</v>
      </c>
      <c r="B49" s="35" t="s">
        <v>106</v>
      </c>
      <c r="C49" s="41"/>
      <c r="D49" s="42" t="s">
        <v>120</v>
      </c>
      <c r="E49" s="41"/>
      <c r="F49" s="42"/>
      <c r="G49" s="41"/>
      <c r="H49" s="41">
        <f t="shared" si="14"/>
        <v>2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1"/>
      <c r="B50" s="31" t="s">
        <v>65</v>
      </c>
      <c r="C50" s="31" t="s">
        <v>113</v>
      </c>
      <c r="D50" s="31" t="s">
        <v>114</v>
      </c>
      <c r="E50" s="31" t="s">
        <v>115</v>
      </c>
      <c r="F50" s="31" t="s">
        <v>116</v>
      </c>
      <c r="G50" s="31" t="s">
        <v>117</v>
      </c>
      <c r="H50" s="31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7" t="s">
        <v>107</v>
      </c>
      <c r="B51" s="33" t="s">
        <v>108</v>
      </c>
      <c r="C51" s="34"/>
      <c r="D51" s="34"/>
      <c r="E51" s="40" t="s">
        <v>120</v>
      </c>
      <c r="F51" s="34"/>
      <c r="G51" s="34"/>
      <c r="H51" s="34">
        <f>IF(C51="X",1)+IF(D51="X",2)+IF(E51="X",3)+IF(F51="X",4)+IF(G51="X",5)</f>
        <v>3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2"/>
      <c r="B52" s="30" t="s">
        <v>82</v>
      </c>
      <c r="C52" s="32"/>
      <c r="D52" s="32"/>
      <c r="E52" s="32"/>
      <c r="F52" s="32"/>
      <c r="G52" s="32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7" t="s">
        <v>109</v>
      </c>
      <c r="B53" s="33" t="s">
        <v>110</v>
      </c>
      <c r="C53" s="34"/>
      <c r="D53" s="34"/>
      <c r="E53" s="34"/>
      <c r="F53" s="34"/>
      <c r="G53" s="40" t="s">
        <v>120</v>
      </c>
      <c r="H53" s="34">
        <f t="shared" ref="H53:H54" si="15">IF(C53="X",1)+IF(D53="X",2)+IF(E53="X",3)+IF(F53="X",4)+IF(G53="X",5)</f>
        <v>5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7" t="s">
        <v>111</v>
      </c>
      <c r="B54" s="33" t="s">
        <v>112</v>
      </c>
      <c r="C54" s="34"/>
      <c r="D54" s="34"/>
      <c r="E54" s="40" t="s">
        <v>120</v>
      </c>
      <c r="F54" s="34"/>
      <c r="G54" s="34"/>
      <c r="H54" s="34">
        <f t="shared" si="15"/>
        <v>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70.11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 ht="15.75" customHeight="1">
      <c r="A1" s="30"/>
      <c r="B1" s="31" t="s">
        <v>36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32" t="s">
        <v>38</v>
      </c>
      <c r="B2" s="33" t="s">
        <v>39</v>
      </c>
      <c r="C2" s="34"/>
      <c r="D2" s="34"/>
      <c r="E2" s="40" t="s">
        <v>120</v>
      </c>
      <c r="F2" s="40"/>
      <c r="G2" s="40"/>
      <c r="H2" s="34">
        <f t="shared" ref="H2:H4" si="1">IF(C2="X",1)+IF(D2="X",2)+IF(E2="X",3)+IF(F2="X",4)+IF(G2="X",5)</f>
        <v>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32" t="s">
        <v>40</v>
      </c>
      <c r="B3" s="35" t="s">
        <v>41</v>
      </c>
      <c r="C3" s="34"/>
      <c r="D3" s="40" t="s">
        <v>120</v>
      </c>
      <c r="E3" s="34"/>
      <c r="F3" s="34"/>
      <c r="G3" s="34"/>
      <c r="H3" s="34">
        <f t="shared" si="1"/>
        <v>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36" t="s">
        <v>42</v>
      </c>
      <c r="B4" s="35" t="s">
        <v>43</v>
      </c>
      <c r="C4" s="42" t="s">
        <v>120</v>
      </c>
      <c r="D4" s="41"/>
      <c r="E4" s="41"/>
      <c r="F4" s="41"/>
      <c r="G4" s="41"/>
      <c r="H4" s="41">
        <f t="shared" si="1"/>
        <v>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30"/>
      <c r="B5" s="20" t="s">
        <v>44</v>
      </c>
      <c r="C5" s="30"/>
      <c r="D5" s="30"/>
      <c r="E5" s="30"/>
      <c r="F5" s="30"/>
      <c r="G5" s="30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32" t="s">
        <v>45</v>
      </c>
      <c r="B6" s="33" t="s">
        <v>46</v>
      </c>
      <c r="C6" s="40" t="s">
        <v>120</v>
      </c>
      <c r="D6" s="34"/>
      <c r="E6" s="34"/>
      <c r="F6" s="34"/>
      <c r="G6" s="34"/>
      <c r="H6" s="34">
        <f t="shared" ref="H6:H7" si="2">IF(C6="X",1)+IF(D6="X",2)+IF(E6="X",3)+IF(F6="X",4)+IF(G6="X",5)</f>
        <v>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32" t="s">
        <v>47</v>
      </c>
      <c r="B7" s="33" t="s">
        <v>48</v>
      </c>
      <c r="C7" s="40" t="s">
        <v>120</v>
      </c>
      <c r="D7" s="34"/>
      <c r="E7" s="34"/>
      <c r="F7" s="34"/>
      <c r="G7" s="34"/>
      <c r="H7" s="34">
        <f t="shared" si="2"/>
        <v>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31"/>
      <c r="B8" s="31" t="s">
        <v>44</v>
      </c>
      <c r="C8" s="31" t="s">
        <v>113</v>
      </c>
      <c r="D8" s="31" t="s">
        <v>114</v>
      </c>
      <c r="E8" s="31" t="s">
        <v>115</v>
      </c>
      <c r="F8" s="31" t="s">
        <v>116</v>
      </c>
      <c r="G8" s="31" t="s">
        <v>117</v>
      </c>
      <c r="H8" s="31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37" t="s">
        <v>49</v>
      </c>
      <c r="B9" s="33" t="s">
        <v>50</v>
      </c>
      <c r="C9" s="40" t="s">
        <v>120</v>
      </c>
      <c r="D9" s="34"/>
      <c r="E9" s="34"/>
      <c r="F9" s="34"/>
      <c r="G9" s="34"/>
      <c r="H9" s="34">
        <f t="shared" ref="H9:H11" si="3">IF(C9="X",1)+IF(D9="X",2)+IF(E9="X",3)+IF(F9="X",4)+IF(G9="X",5)</f>
        <v>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37" t="s">
        <v>51</v>
      </c>
      <c r="B10" s="33" t="s">
        <v>52</v>
      </c>
      <c r="C10" s="40" t="s">
        <v>120</v>
      </c>
      <c r="D10" s="34"/>
      <c r="E10" s="34"/>
      <c r="F10" s="34"/>
      <c r="G10" s="34"/>
      <c r="H10" s="34">
        <f t="shared" si="3"/>
        <v>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38" t="s">
        <v>53</v>
      </c>
      <c r="B11" s="35" t="s">
        <v>54</v>
      </c>
      <c r="C11" s="41"/>
      <c r="D11" s="42" t="s">
        <v>120</v>
      </c>
      <c r="E11" s="41"/>
      <c r="F11" s="41"/>
      <c r="G11" s="41"/>
      <c r="H11" s="41">
        <f t="shared" si="3"/>
        <v>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31"/>
      <c r="B12" s="31" t="s">
        <v>36</v>
      </c>
      <c r="C12" s="31" t="s">
        <v>113</v>
      </c>
      <c r="D12" s="31" t="s">
        <v>114</v>
      </c>
      <c r="E12" s="31" t="s">
        <v>115</v>
      </c>
      <c r="F12" s="31" t="s">
        <v>116</v>
      </c>
      <c r="G12" s="31" t="s">
        <v>117</v>
      </c>
      <c r="H12" s="3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37" t="s">
        <v>55</v>
      </c>
      <c r="B13" s="33" t="s">
        <v>56</v>
      </c>
      <c r="C13" s="34"/>
      <c r="D13" s="40" t="s">
        <v>120</v>
      </c>
      <c r="E13" s="34"/>
      <c r="F13" s="40"/>
      <c r="G13" s="40"/>
      <c r="H13" s="34">
        <f t="shared" ref="H13:H15" si="4">IF(C13="X",1)+IF(D13="X",2)+IF(E13="X",3)+IF(F13="X",4)+IF(G13="X",5)</f>
        <v>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37" t="s">
        <v>57</v>
      </c>
      <c r="B14" s="33" t="s">
        <v>58</v>
      </c>
      <c r="C14" s="34"/>
      <c r="D14" s="34"/>
      <c r="E14" s="40" t="s">
        <v>120</v>
      </c>
      <c r="F14" s="34"/>
      <c r="G14" s="34"/>
      <c r="H14" s="34">
        <f t="shared" si="4"/>
        <v>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37" t="s">
        <v>59</v>
      </c>
      <c r="B15" s="33" t="s">
        <v>60</v>
      </c>
      <c r="C15" s="34"/>
      <c r="D15" s="40" t="s">
        <v>120</v>
      </c>
      <c r="E15" s="34"/>
      <c r="F15" s="34"/>
      <c r="G15" s="34"/>
      <c r="H15" s="34">
        <f t="shared" si="4"/>
        <v>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1"/>
      <c r="B16" s="31" t="s">
        <v>36</v>
      </c>
      <c r="C16" s="31" t="s">
        <v>113</v>
      </c>
      <c r="D16" s="31" t="s">
        <v>114</v>
      </c>
      <c r="E16" s="31" t="s">
        <v>115</v>
      </c>
      <c r="F16" s="31" t="s">
        <v>116</v>
      </c>
      <c r="G16" s="31" t="s">
        <v>117</v>
      </c>
      <c r="H16" s="31" t="s">
        <v>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37" t="s">
        <v>61</v>
      </c>
      <c r="B17" s="33" t="s">
        <v>62</v>
      </c>
      <c r="C17" s="34"/>
      <c r="D17" s="40" t="s">
        <v>120</v>
      </c>
      <c r="E17" s="34"/>
      <c r="F17" s="40"/>
      <c r="G17" s="40"/>
      <c r="H17" s="34">
        <f t="shared" ref="H17:H18" si="5">IF(C17="X",1)+IF(D17="X",2)+IF(E17="X",3)+IF(F17="X",4)+IF(G17="X",5)</f>
        <v>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7" t="s">
        <v>63</v>
      </c>
      <c r="B18" s="33" t="s">
        <v>64</v>
      </c>
      <c r="C18" s="34"/>
      <c r="D18" s="34"/>
      <c r="E18" s="40" t="s">
        <v>120</v>
      </c>
      <c r="F18" s="34"/>
      <c r="G18" s="34"/>
      <c r="H18" s="34">
        <f t="shared" si="5"/>
        <v>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32"/>
      <c r="B19" s="30" t="s">
        <v>65</v>
      </c>
      <c r="C19" s="32"/>
      <c r="D19" s="32"/>
      <c r="E19" s="32"/>
      <c r="F19" s="32"/>
      <c r="G19" s="32"/>
      <c r="H19" s="3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37" t="s">
        <v>66</v>
      </c>
      <c r="B20" s="33" t="s">
        <v>67</v>
      </c>
      <c r="C20" s="34"/>
      <c r="D20" s="34"/>
      <c r="E20" s="34"/>
      <c r="F20" s="40" t="s">
        <v>120</v>
      </c>
      <c r="G20" s="34"/>
      <c r="H20" s="34">
        <f t="shared" ref="H20:H21" si="6">IF(C20="X",1)+IF(D20="X",2)+IF(E20="X",3)+IF(F20="X",4)+IF(G20="X",5)</f>
        <v>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7" t="s">
        <v>68</v>
      </c>
      <c r="B21" s="33" t="s">
        <v>69</v>
      </c>
      <c r="C21" s="40" t="s">
        <v>120</v>
      </c>
      <c r="D21" s="34"/>
      <c r="E21" s="34"/>
      <c r="F21" s="34"/>
      <c r="G21" s="34"/>
      <c r="H21" s="34">
        <f t="shared" si="6"/>
        <v>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2"/>
      <c r="B22" s="30" t="s">
        <v>44</v>
      </c>
      <c r="C22" s="32"/>
      <c r="D22" s="32"/>
      <c r="E22" s="32"/>
      <c r="F22" s="32"/>
      <c r="G22" s="32"/>
      <c r="H22" s="3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7" t="s">
        <v>70</v>
      </c>
      <c r="B23" s="33" t="s">
        <v>71</v>
      </c>
      <c r="C23" s="34"/>
      <c r="D23" s="34"/>
      <c r="E23" s="40" t="s">
        <v>120</v>
      </c>
      <c r="F23" s="34"/>
      <c r="G23" s="34"/>
      <c r="H23" s="34">
        <f t="shared" ref="H23:H24" si="7">IF(C23="X",1)+IF(D23="X",2)+IF(E23="X",3)+IF(F23="X",4)+IF(G23="X",5)</f>
        <v>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7" t="s">
        <v>72</v>
      </c>
      <c r="B24" s="33" t="s">
        <v>73</v>
      </c>
      <c r="C24" s="34"/>
      <c r="D24" s="34"/>
      <c r="E24" s="40" t="s">
        <v>120</v>
      </c>
      <c r="F24" s="34"/>
      <c r="G24" s="34"/>
      <c r="H24" s="34">
        <f t="shared" si="7"/>
        <v>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1"/>
      <c r="B25" s="31" t="s">
        <v>36</v>
      </c>
      <c r="C25" s="31" t="s">
        <v>113</v>
      </c>
      <c r="D25" s="31" t="s">
        <v>114</v>
      </c>
      <c r="E25" s="31" t="s">
        <v>115</v>
      </c>
      <c r="F25" s="31" t="s">
        <v>116</v>
      </c>
      <c r="G25" s="31" t="s">
        <v>117</v>
      </c>
      <c r="H25" s="31" t="s">
        <v>37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7" t="s">
        <v>74</v>
      </c>
      <c r="B26" s="33" t="s">
        <v>75</v>
      </c>
      <c r="C26" s="34"/>
      <c r="D26" s="34"/>
      <c r="E26" s="34"/>
      <c r="F26" s="40" t="s">
        <v>120</v>
      </c>
      <c r="G26" s="40"/>
      <c r="H26" s="34">
        <f t="shared" ref="H26:H27" si="8">IF(C26="X",1)+IF(D26="X",2)+IF(E26="X",3)+IF(F26="X",4)+IF(G26="X",5)</f>
        <v>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7" t="s">
        <v>76</v>
      </c>
      <c r="B27" s="33" t="s">
        <v>77</v>
      </c>
      <c r="C27" s="34"/>
      <c r="D27" s="34"/>
      <c r="E27" s="34"/>
      <c r="F27" s="40" t="s">
        <v>120</v>
      </c>
      <c r="G27" s="34"/>
      <c r="H27" s="34">
        <f t="shared" si="8"/>
        <v>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2"/>
      <c r="B28" s="30" t="s">
        <v>44</v>
      </c>
      <c r="C28" s="32"/>
      <c r="D28" s="32"/>
      <c r="E28" s="32"/>
      <c r="F28" s="32"/>
      <c r="G28" s="32"/>
      <c r="H28" s="3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7" t="s">
        <v>78</v>
      </c>
      <c r="B29" s="33" t="s">
        <v>79</v>
      </c>
      <c r="C29" s="34"/>
      <c r="D29" s="34"/>
      <c r="E29" s="40" t="s">
        <v>120</v>
      </c>
      <c r="F29" s="34"/>
      <c r="G29" s="34"/>
      <c r="H29" s="34">
        <f t="shared" ref="H29:H30" si="9">IF(C29="X",1)+IF(D29="X",2)+IF(E29="X",3)+IF(F29="X",4)+IF(G29="X",5)</f>
        <v>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7" t="s">
        <v>80</v>
      </c>
      <c r="B30" s="33" t="s">
        <v>81</v>
      </c>
      <c r="C30" s="34"/>
      <c r="D30" s="34"/>
      <c r="E30" s="34"/>
      <c r="F30" s="40" t="s">
        <v>120</v>
      </c>
      <c r="G30" s="34"/>
      <c r="H30" s="34">
        <f t="shared" si="9"/>
        <v>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2"/>
      <c r="B31" s="30" t="s">
        <v>82</v>
      </c>
      <c r="C31" s="32"/>
      <c r="D31" s="32"/>
      <c r="E31" s="32"/>
      <c r="F31" s="32"/>
      <c r="G31" s="32"/>
      <c r="H31" s="3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7" t="s">
        <v>83</v>
      </c>
      <c r="B32" s="33" t="s">
        <v>84</v>
      </c>
      <c r="C32" s="34"/>
      <c r="D32" s="34"/>
      <c r="E32" s="34"/>
      <c r="F32" s="40" t="s">
        <v>120</v>
      </c>
      <c r="G32" s="34"/>
      <c r="H32" s="34">
        <f>IF(C32="X",1)+IF(D32="X",2)+IF(E32="X",3)+IF(F32="X",4)+IF(G32="X",5)</f>
        <v>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1"/>
      <c r="B33" s="31" t="s">
        <v>44</v>
      </c>
      <c r="C33" s="31" t="s">
        <v>113</v>
      </c>
      <c r="D33" s="31" t="s">
        <v>114</v>
      </c>
      <c r="E33" s="31" t="s">
        <v>115</v>
      </c>
      <c r="F33" s="31" t="s">
        <v>116</v>
      </c>
      <c r="G33" s="31" t="s">
        <v>117</v>
      </c>
      <c r="H33" s="31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7" t="s">
        <v>85</v>
      </c>
      <c r="B34" s="33" t="s">
        <v>86</v>
      </c>
      <c r="C34" s="34"/>
      <c r="D34" s="34"/>
      <c r="E34" s="34"/>
      <c r="F34" s="40" t="s">
        <v>120</v>
      </c>
      <c r="G34" s="34"/>
      <c r="H34" s="34">
        <f t="shared" ref="H34:H35" si="10">IF(C34="X",1)+IF(D34="X",2)+IF(E34="X",3)+IF(F34="X",4)+IF(G34="X",5)</f>
        <v>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7" t="s">
        <v>87</v>
      </c>
      <c r="B35" s="33" t="s">
        <v>88</v>
      </c>
      <c r="C35" s="34"/>
      <c r="D35" s="34"/>
      <c r="E35" s="34"/>
      <c r="F35" s="40" t="s">
        <v>120</v>
      </c>
      <c r="G35" s="34"/>
      <c r="H35" s="34">
        <f t="shared" si="10"/>
        <v>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2"/>
      <c r="B36" s="20" t="s">
        <v>82</v>
      </c>
      <c r="C36" s="32"/>
      <c r="D36" s="32"/>
      <c r="E36" s="32"/>
      <c r="F36" s="32"/>
      <c r="G36" s="32"/>
      <c r="H36" s="3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7" t="s">
        <v>89</v>
      </c>
      <c r="B37" s="33" t="s">
        <v>90</v>
      </c>
      <c r="C37" s="34"/>
      <c r="D37" s="34"/>
      <c r="E37" s="34"/>
      <c r="F37" s="40" t="s">
        <v>120</v>
      </c>
      <c r="G37" s="34"/>
      <c r="H37" s="34">
        <f t="shared" ref="H37:H38" si="11">IF(C37="X",1)+IF(D37="X",2)+IF(E37="X",3)+IF(F37="X",4)+IF(G37="X",5)</f>
        <v>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8" t="s">
        <v>91</v>
      </c>
      <c r="B38" s="35" t="s">
        <v>92</v>
      </c>
      <c r="C38" s="41"/>
      <c r="D38" s="41"/>
      <c r="E38" s="42" t="s">
        <v>120</v>
      </c>
      <c r="F38" s="41"/>
      <c r="G38" s="41"/>
      <c r="H38" s="41">
        <f t="shared" si="11"/>
        <v>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1"/>
      <c r="B39" s="39" t="s">
        <v>82</v>
      </c>
      <c r="C39" s="31" t="s">
        <v>113</v>
      </c>
      <c r="D39" s="31" t="s">
        <v>114</v>
      </c>
      <c r="E39" s="31" t="s">
        <v>115</v>
      </c>
      <c r="F39" s="31" t="s">
        <v>116</v>
      </c>
      <c r="G39" s="31" t="s">
        <v>117</v>
      </c>
      <c r="H39" s="31" t="s">
        <v>37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7" t="s">
        <v>93</v>
      </c>
      <c r="B40" s="33" t="s">
        <v>94</v>
      </c>
      <c r="C40" s="34"/>
      <c r="D40" s="40" t="s">
        <v>120</v>
      </c>
      <c r="E40" s="34"/>
      <c r="F40" s="34"/>
      <c r="G40" s="34"/>
      <c r="H40" s="34">
        <f t="shared" ref="H40:H41" si="12">IF(C40="X",1)+IF(D40="X",2)+IF(E40="X",3)+IF(F40="X",4)+IF(G40="X",5)</f>
        <v>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8" t="s">
        <v>95</v>
      </c>
      <c r="B41" s="35" t="s">
        <v>96</v>
      </c>
      <c r="C41" s="41"/>
      <c r="D41" s="42" t="s">
        <v>120</v>
      </c>
      <c r="E41" s="41"/>
      <c r="F41" s="41"/>
      <c r="G41" s="41"/>
      <c r="H41" s="41">
        <f t="shared" si="12"/>
        <v>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1"/>
      <c r="B42" s="31" t="s">
        <v>44</v>
      </c>
      <c r="C42" s="31" t="s">
        <v>113</v>
      </c>
      <c r="D42" s="31" t="s">
        <v>114</v>
      </c>
      <c r="E42" s="31" t="s">
        <v>115</v>
      </c>
      <c r="F42" s="31" t="s">
        <v>116</v>
      </c>
      <c r="G42" s="31" t="s">
        <v>117</v>
      </c>
      <c r="H42" s="31" t="s">
        <v>37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7" t="s">
        <v>118</v>
      </c>
      <c r="B43" s="33" t="s">
        <v>98</v>
      </c>
      <c r="C43" s="34"/>
      <c r="D43" s="34"/>
      <c r="E43" s="34"/>
      <c r="F43" s="40" t="s">
        <v>120</v>
      </c>
      <c r="G43" s="40"/>
      <c r="H43" s="34">
        <f t="shared" ref="H43:H44" si="13">IF(C43="X",1)+IF(D43="X",2)+IF(E43="X",3)+IF(F43="X",4)+IF(G43="X",5)</f>
        <v>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7" t="s">
        <v>119</v>
      </c>
      <c r="B44" s="33" t="s">
        <v>100</v>
      </c>
      <c r="C44" s="34"/>
      <c r="D44" s="34"/>
      <c r="E44" s="34"/>
      <c r="F44" s="40" t="s">
        <v>120</v>
      </c>
      <c r="G44" s="34"/>
      <c r="H44" s="34">
        <f t="shared" si="13"/>
        <v>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2"/>
      <c r="B45" s="30" t="s">
        <v>82</v>
      </c>
      <c r="C45" s="32"/>
      <c r="D45" s="32"/>
      <c r="E45" s="32"/>
      <c r="F45" s="32"/>
      <c r="G45" s="32"/>
      <c r="H45" s="3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7" t="s">
        <v>101</v>
      </c>
      <c r="B46" s="35" t="s">
        <v>102</v>
      </c>
      <c r="C46" s="34"/>
      <c r="D46" s="34"/>
      <c r="E46" s="34"/>
      <c r="F46" s="40" t="s">
        <v>120</v>
      </c>
      <c r="G46" s="34"/>
      <c r="H46" s="34">
        <f>IF(C46="X",1)+IF(D46="X",2)+IF(E46="X",3)+IF(F46="X",4)+IF(G46="X",5)</f>
        <v>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1"/>
      <c r="B47" s="31" t="s">
        <v>82</v>
      </c>
      <c r="C47" s="31" t="s">
        <v>113</v>
      </c>
      <c r="D47" s="31" t="s">
        <v>114</v>
      </c>
      <c r="E47" s="31" t="s">
        <v>115</v>
      </c>
      <c r="F47" s="31" t="s">
        <v>116</v>
      </c>
      <c r="G47" s="31" t="s">
        <v>117</v>
      </c>
      <c r="H47" s="31" t="s">
        <v>37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7" t="s">
        <v>103</v>
      </c>
      <c r="B48" s="33" t="s">
        <v>104</v>
      </c>
      <c r="C48" s="40"/>
      <c r="D48" s="34"/>
      <c r="E48" s="34"/>
      <c r="F48" s="34"/>
      <c r="G48" s="40" t="s">
        <v>120</v>
      </c>
      <c r="H48" s="34">
        <f t="shared" ref="H48:H49" si="14">IF(C48="X",1)+IF(D48="X",2)+IF(E48="X",3)+IF(F48="X",4)+IF(G48="X",5)</f>
        <v>5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8" t="s">
        <v>105</v>
      </c>
      <c r="B49" s="35" t="s">
        <v>106</v>
      </c>
      <c r="C49" s="41"/>
      <c r="D49" s="41"/>
      <c r="E49" s="42" t="s">
        <v>120</v>
      </c>
      <c r="F49" s="42"/>
      <c r="G49" s="41"/>
      <c r="H49" s="41">
        <f t="shared" si="14"/>
        <v>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1"/>
      <c r="B50" s="31" t="s">
        <v>65</v>
      </c>
      <c r="C50" s="31" t="s">
        <v>113</v>
      </c>
      <c r="D50" s="31" t="s">
        <v>114</v>
      </c>
      <c r="E50" s="31" t="s">
        <v>115</v>
      </c>
      <c r="F50" s="31" t="s">
        <v>116</v>
      </c>
      <c r="G50" s="31" t="s">
        <v>117</v>
      </c>
      <c r="H50" s="31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7" t="s">
        <v>107</v>
      </c>
      <c r="B51" s="33" t="s">
        <v>108</v>
      </c>
      <c r="C51" s="34"/>
      <c r="D51" s="34"/>
      <c r="E51" s="34"/>
      <c r="F51" s="40" t="s">
        <v>120</v>
      </c>
      <c r="G51" s="34"/>
      <c r="H51" s="34">
        <f>IF(C51="X",1)+IF(D51="X",2)+IF(E51="X",3)+IF(F51="X",4)+IF(G51="X",5)</f>
        <v>4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2"/>
      <c r="B52" s="30" t="s">
        <v>82</v>
      </c>
      <c r="C52" s="32"/>
      <c r="D52" s="32"/>
      <c r="E52" s="32"/>
      <c r="F52" s="32"/>
      <c r="G52" s="32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7" t="s">
        <v>109</v>
      </c>
      <c r="B53" s="33" t="s">
        <v>110</v>
      </c>
      <c r="C53" s="34"/>
      <c r="D53" s="34"/>
      <c r="E53" s="34"/>
      <c r="F53" s="40" t="s">
        <v>120</v>
      </c>
      <c r="G53" s="34"/>
      <c r="H53" s="34">
        <f t="shared" ref="H53:H54" si="15">IF(C53="X",1)+IF(D53="X",2)+IF(E53="X",3)+IF(F53="X",4)+IF(G53="X",5)</f>
        <v>4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7" t="s">
        <v>111</v>
      </c>
      <c r="B54" s="33" t="s">
        <v>112</v>
      </c>
      <c r="C54" s="34"/>
      <c r="D54" s="40" t="s">
        <v>120</v>
      </c>
      <c r="E54" s="34"/>
      <c r="F54" s="34"/>
      <c r="G54" s="34"/>
      <c r="H54" s="34">
        <f t="shared" si="15"/>
        <v>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2017-10-12T15:51:15Z</dcterms:created>
  <dc:creator>Utente di Microsoft Office</dc:creator>
</cp:coreProperties>
</file>